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kumenty\praca inżynierska\ICP\"/>
    </mc:Choice>
  </mc:AlternateContent>
  <xr:revisionPtr revIDLastSave="0" documentId="13_ncr:1_{CE904A66-8256-418A-9A3B-0550E2ABB625}" xr6:coauthVersionLast="47" xr6:coauthVersionMax="47" xr10:uidLastSave="{00000000-0000-0000-0000-000000000000}"/>
  <bookViews>
    <workbookView xWindow="11520" yWindow="0" windowWidth="11520" windowHeight="12960" xr2:uid="{A60F52B5-176C-4D9B-BDC2-BC896793770A}"/>
  </bookViews>
  <sheets>
    <sheet name="avg_metrics_static_ne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" i="1" l="1"/>
  <c r="X40" i="1"/>
  <c r="X41" i="1"/>
  <c r="X42" i="1"/>
  <c r="X43" i="1"/>
  <c r="X44" i="1"/>
  <c r="X45" i="1"/>
  <c r="X46" i="1"/>
  <c r="X47" i="1"/>
  <c r="X48" i="1"/>
  <c r="X49" i="1"/>
  <c r="X50" i="1"/>
  <c r="X39" i="1"/>
  <c r="X22" i="1"/>
  <c r="X23" i="1"/>
  <c r="X24" i="1"/>
  <c r="X25" i="1"/>
  <c r="X26" i="1"/>
  <c r="X27" i="1"/>
  <c r="X28" i="1"/>
  <c r="X29" i="1"/>
  <c r="X30" i="1"/>
  <c r="X31" i="1"/>
  <c r="X32" i="1"/>
  <c r="X21" i="1"/>
  <c r="X4" i="1"/>
  <c r="X5" i="1"/>
  <c r="X6" i="1"/>
  <c r="X7" i="1"/>
  <c r="X8" i="1"/>
  <c r="X9" i="1"/>
  <c r="X10" i="1"/>
  <c r="X11" i="1"/>
  <c r="X12" i="1"/>
  <c r="X13" i="1"/>
  <c r="X14" i="1"/>
  <c r="X3" i="1"/>
  <c r="L58" i="1"/>
  <c r="L59" i="1"/>
  <c r="L60" i="1"/>
  <c r="L61" i="1"/>
  <c r="L62" i="1"/>
  <c r="L57" i="1"/>
  <c r="L40" i="1"/>
  <c r="L41" i="1"/>
  <c r="L42" i="1"/>
  <c r="L43" i="1"/>
  <c r="L44" i="1"/>
  <c r="L45" i="1"/>
  <c r="L46" i="1"/>
  <c r="L47" i="1"/>
  <c r="L48" i="1"/>
  <c r="L49" i="1"/>
  <c r="L50" i="1"/>
  <c r="L39" i="1"/>
  <c r="L4" i="1"/>
  <c r="L5" i="1"/>
  <c r="L6" i="1"/>
  <c r="L7" i="1"/>
  <c r="L8" i="1"/>
  <c r="L3" i="1"/>
  <c r="X52" i="1"/>
  <c r="X53" i="1"/>
  <c r="X54" i="1"/>
  <c r="X55" i="1"/>
  <c r="X56" i="1"/>
  <c r="X51" i="1"/>
  <c r="L52" i="1"/>
  <c r="L53" i="1"/>
  <c r="L54" i="1"/>
  <c r="L55" i="1"/>
  <c r="L56" i="1"/>
  <c r="L51" i="1"/>
  <c r="L34" i="1"/>
  <c r="L35" i="1"/>
  <c r="L36" i="1"/>
  <c r="L37" i="1"/>
  <c r="L38" i="1"/>
  <c r="L33" i="1"/>
  <c r="L16" i="1"/>
  <c r="L17" i="1"/>
  <c r="L18" i="1"/>
  <c r="L19" i="1"/>
  <c r="L20" i="1"/>
  <c r="L15" i="1"/>
  <c r="X34" i="1"/>
  <c r="X35" i="1"/>
  <c r="X36" i="1"/>
  <c r="X37" i="1"/>
  <c r="X38" i="1"/>
  <c r="X33" i="1"/>
  <c r="L9" i="1"/>
  <c r="L10" i="1"/>
  <c r="L11" i="1"/>
  <c r="L12" i="1"/>
  <c r="L13" i="1"/>
  <c r="L14" i="1"/>
  <c r="L21" i="1"/>
  <c r="L22" i="1"/>
  <c r="L23" i="1"/>
  <c r="L24" i="1"/>
  <c r="L25" i="1"/>
  <c r="L26" i="1"/>
  <c r="L27" i="1"/>
  <c r="L28" i="1"/>
  <c r="L29" i="1"/>
  <c r="L30" i="1"/>
  <c r="L31" i="1"/>
  <c r="L32" i="1"/>
  <c r="X16" i="1"/>
  <c r="X17" i="1"/>
  <c r="X18" i="1"/>
  <c r="X19" i="1"/>
  <c r="X20" i="1"/>
  <c r="X57" i="1"/>
  <c r="X58" i="1"/>
  <c r="X59" i="1"/>
  <c r="X60" i="1"/>
  <c r="X61" i="1"/>
  <c r="X62" i="1"/>
</calcChain>
</file>

<file path=xl/sharedStrings.xml><?xml version="1.0" encoding="utf-8"?>
<sst xmlns="http://schemas.openxmlformats.org/spreadsheetml/2006/main" count="487" uniqueCount="31">
  <si>
    <t>Class</t>
  </si>
  <si>
    <t>Peak</t>
  </si>
  <si>
    <t>Method</t>
  </si>
  <si>
    <t>Mean_X_Error</t>
  </si>
  <si>
    <t>Mean_Y_Error</t>
  </si>
  <si>
    <t>Mean_XY_Error</t>
  </si>
  <si>
    <t>Peak_Count</t>
  </si>
  <si>
    <t>Num_Signals_in_Class</t>
  </si>
  <si>
    <t>Num_Signals_with_Peak</t>
  </si>
  <si>
    <t>Class1</t>
  </si>
  <si>
    <t>P1</t>
  </si>
  <si>
    <t>concave</t>
  </si>
  <si>
    <t>curvature</t>
  </si>
  <si>
    <t>hilbert</t>
  </si>
  <si>
    <t>line_distance_10</t>
  </si>
  <si>
    <t>modified_scholkmann_1_99</t>
  </si>
  <si>
    <t>wavelet</t>
  </si>
  <si>
    <t>P2</t>
  </si>
  <si>
    <t>P3</t>
  </si>
  <si>
    <t>Class2</t>
  </si>
  <si>
    <t>Class3</t>
  </si>
  <si>
    <t>Class4</t>
  </si>
  <si>
    <t>STATIC</t>
  </si>
  <si>
    <t>CROSSING</t>
  </si>
  <si>
    <t>Tryb</t>
  </si>
  <si>
    <t>static</t>
  </si>
  <si>
    <t>tryb</t>
  </si>
  <si>
    <t>crossing</t>
  </si>
  <si>
    <t>wynik</t>
  </si>
  <si>
    <t>WYNIK</t>
  </si>
  <si>
    <t>dla P3 &lt;10!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</si>
</sst>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0" fillId="34" borderId="0" xfId="0" quotePrefix="1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FB8-E57B-4A44-9D83-664248C33940}">
  <dimension ref="A1:Y62"/>
  <sheetViews>
    <sheetView tabSelected="1" topLeftCell="A26" zoomScale="74" workbookViewId="0">
      <selection activeCell="I48" sqref="I48"/>
    </sheetView>
  </sheetViews>
  <sheetFormatPr defaultRowHeight="14.4" x14ac:dyDescent="0.3"/>
  <cols>
    <col min="1" max="1" width="8.88671875" style="2"/>
    <col min="12" max="12" width="27.33203125" customWidth="1"/>
    <col min="14" max="14" width="8.88671875" style="2"/>
    <col min="24" max="24" width="26.88671875" bestFit="1" customWidth="1"/>
  </cols>
  <sheetData>
    <row r="1" spans="1:24" x14ac:dyDescent="0.3">
      <c r="B1" t="s">
        <v>22</v>
      </c>
      <c r="P1" t="s">
        <v>23</v>
      </c>
    </row>
    <row r="2" spans="1:24" x14ac:dyDescent="0.3">
      <c r="A2" s="2" t="s">
        <v>24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/>
      <c r="L2" s="2" t="s">
        <v>28</v>
      </c>
      <c r="M2" s="2"/>
      <c r="N2" s="2" t="s">
        <v>26</v>
      </c>
      <c r="O2" s="2" t="s">
        <v>0</v>
      </c>
      <c r="P2" s="2" t="s">
        <v>1</v>
      </c>
      <c r="Q2" s="2" t="s">
        <v>2</v>
      </c>
      <c r="R2" s="2" t="s">
        <v>3</v>
      </c>
      <c r="S2" s="2" t="s">
        <v>4</v>
      </c>
      <c r="T2" s="2" t="s">
        <v>5</v>
      </c>
      <c r="U2" s="2" t="s">
        <v>6</v>
      </c>
      <c r="V2" s="2" t="s">
        <v>7</v>
      </c>
      <c r="W2" s="2" t="s">
        <v>8</v>
      </c>
      <c r="X2" s="2" t="s">
        <v>29</v>
      </c>
    </row>
    <row r="3" spans="1:24" x14ac:dyDescent="0.3">
      <c r="A3" s="2" t="s">
        <v>25</v>
      </c>
      <c r="B3" s="3" t="s">
        <v>9</v>
      </c>
      <c r="C3" s="3" t="s">
        <v>10</v>
      </c>
      <c r="D3" s="3" t="s">
        <v>11</v>
      </c>
      <c r="E3" s="4">
        <v>2.8634453781512601</v>
      </c>
      <c r="F3" s="3">
        <v>1.1046731094246E-2</v>
      </c>
      <c r="G3" s="4">
        <v>2.8634762471115902</v>
      </c>
      <c r="H3" s="3">
        <v>1.048</v>
      </c>
      <c r="I3" s="3">
        <v>250</v>
      </c>
      <c r="J3" s="3">
        <v>238</v>
      </c>
      <c r="K3" s="3"/>
      <c r="L3" s="3" t="str">
        <f>IF(AND($H3&lt;1.5, $H3&gt;0.8, $G3&lt;4),
   $B3 &amp; " - " &amp; $C3 &amp; " - " &amp; $D3,
   "")</f>
        <v>Class1 - P1 - concave</v>
      </c>
      <c r="M3" s="3"/>
      <c r="N3" s="2" t="s">
        <v>27</v>
      </c>
      <c r="O3" s="3" t="s">
        <v>9</v>
      </c>
      <c r="P3" s="3" t="s">
        <v>10</v>
      </c>
      <c r="Q3" s="3" t="s">
        <v>11</v>
      </c>
      <c r="R3" s="3">
        <v>1.3240000000000001</v>
      </c>
      <c r="S3" s="3">
        <v>7.0713123976843904E-3</v>
      </c>
      <c r="T3" s="4">
        <v>1.32402525330154</v>
      </c>
      <c r="U3" s="3">
        <v>1</v>
      </c>
      <c r="V3" s="3">
        <v>250</v>
      </c>
      <c r="W3" s="3">
        <v>250</v>
      </c>
      <c r="X3" s="3" t="str">
        <f>IF(AND($U3&lt;1.5, $U3&gt;0.8, $T3&lt;4),
   $O3 &amp; " - " &amp; $P3 &amp; " - " &amp; $Q3,
   "")</f>
        <v>Class1 - P1 - concave</v>
      </c>
    </row>
    <row r="4" spans="1:24" x14ac:dyDescent="0.3">
      <c r="A4" s="2" t="s">
        <v>25</v>
      </c>
      <c r="B4" s="3" t="s">
        <v>9</v>
      </c>
      <c r="C4" s="3" t="s">
        <v>10</v>
      </c>
      <c r="D4" s="3" t="s">
        <v>12</v>
      </c>
      <c r="E4" s="4">
        <v>5.2991452991452901</v>
      </c>
      <c r="F4" s="3">
        <v>5.0377026542370203E-2</v>
      </c>
      <c r="G4" s="4">
        <v>5.2994902551211398</v>
      </c>
      <c r="H4" s="3">
        <v>1.056</v>
      </c>
      <c r="I4" s="3">
        <v>250</v>
      </c>
      <c r="J4" s="3">
        <v>234</v>
      </c>
      <c r="K4" s="3"/>
      <c r="L4" s="3" t="str">
        <f t="shared" ref="L4:L8" si="0">IF(AND($H4&lt;1.5, $H4&gt;0.8, $G4&lt;4),
   $B4 &amp; " - " &amp; $C4 &amp; " - " &amp; $D4,
   "")</f>
        <v/>
      </c>
      <c r="M4" s="3"/>
      <c r="N4" s="2" t="s">
        <v>27</v>
      </c>
      <c r="O4" s="3" t="s">
        <v>9</v>
      </c>
      <c r="P4" s="3" t="s">
        <v>10</v>
      </c>
      <c r="Q4" s="3" t="s">
        <v>12</v>
      </c>
      <c r="R4" s="3">
        <v>3.54</v>
      </c>
      <c r="S4" s="3">
        <v>4.9531873413956998E-2</v>
      </c>
      <c r="T4" s="4">
        <v>3.5403730183374198</v>
      </c>
      <c r="U4" s="3">
        <v>1.008</v>
      </c>
      <c r="V4" s="3">
        <v>250</v>
      </c>
      <c r="W4" s="3">
        <v>250</v>
      </c>
      <c r="X4" s="3" t="str">
        <f t="shared" ref="X4:X14" si="1">IF(AND($U4&lt;1.5, $U4&gt;0.8, $T4&lt;4),
   $O4 &amp; " - " &amp; $P4 &amp; " - " &amp; $Q4,
   "")</f>
        <v>Class1 - P1 - curvature</v>
      </c>
    </row>
    <row r="5" spans="1:24" x14ac:dyDescent="0.3">
      <c r="A5" s="2" t="s">
        <v>25</v>
      </c>
      <c r="B5" s="3" t="s">
        <v>9</v>
      </c>
      <c r="C5" s="3" t="s">
        <v>10</v>
      </c>
      <c r="D5" s="3" t="s">
        <v>13</v>
      </c>
      <c r="E5" s="4">
        <v>4.8399122807017498</v>
      </c>
      <c r="F5" s="3">
        <v>4.4685263448842903E-2</v>
      </c>
      <c r="G5" s="4">
        <v>4.8402212902430799</v>
      </c>
      <c r="H5" s="3">
        <v>0.996</v>
      </c>
      <c r="I5" s="3">
        <v>250</v>
      </c>
      <c r="J5" s="3">
        <v>228</v>
      </c>
      <c r="K5" s="3"/>
      <c r="L5" s="3" t="str">
        <f t="shared" si="0"/>
        <v/>
      </c>
      <c r="M5" s="3"/>
      <c r="N5" s="2" t="s">
        <v>27</v>
      </c>
      <c r="O5" s="3" t="s">
        <v>9</v>
      </c>
      <c r="P5" s="3" t="s">
        <v>10</v>
      </c>
      <c r="Q5" s="3" t="s">
        <v>13</v>
      </c>
      <c r="R5" s="3">
        <v>3.2</v>
      </c>
      <c r="S5" s="4">
        <v>4.3361308473495203E-2</v>
      </c>
      <c r="T5" s="4">
        <v>3.2003372128815402</v>
      </c>
      <c r="U5" s="3">
        <v>1</v>
      </c>
      <c r="V5" s="3">
        <v>250</v>
      </c>
      <c r="W5" s="3">
        <v>250</v>
      </c>
      <c r="X5" s="3" t="str">
        <f t="shared" si="1"/>
        <v>Class1 - P1 - hilbert</v>
      </c>
    </row>
    <row r="6" spans="1:24" x14ac:dyDescent="0.3">
      <c r="A6" s="2" t="s">
        <v>25</v>
      </c>
      <c r="B6" s="3" t="s">
        <v>9</v>
      </c>
      <c r="C6" s="3" t="s">
        <v>10</v>
      </c>
      <c r="D6" s="3" t="s">
        <v>14</v>
      </c>
      <c r="E6" s="4">
        <v>4.52708333333333</v>
      </c>
      <c r="F6" s="4">
        <v>3.1380703466836399E-2</v>
      </c>
      <c r="G6" s="4">
        <v>4.5272481826641302</v>
      </c>
      <c r="H6" s="3">
        <v>1.0880000000000001</v>
      </c>
      <c r="I6" s="3">
        <v>250</v>
      </c>
      <c r="J6" s="3">
        <v>240</v>
      </c>
      <c r="K6" s="3"/>
      <c r="L6" s="3" t="str">
        <f t="shared" si="0"/>
        <v/>
      </c>
      <c r="M6" s="3"/>
      <c r="N6" s="2" t="s">
        <v>27</v>
      </c>
      <c r="O6" s="3" t="s">
        <v>9</v>
      </c>
      <c r="P6" s="3" t="s">
        <v>10</v>
      </c>
      <c r="Q6" s="3" t="s">
        <v>14</v>
      </c>
      <c r="R6" s="3">
        <v>2.532</v>
      </c>
      <c r="S6" s="4">
        <v>2.8154209563388499E-2</v>
      </c>
      <c r="T6" s="4">
        <v>2.5321780491239898</v>
      </c>
      <c r="U6" s="3">
        <v>1</v>
      </c>
      <c r="V6" s="3">
        <v>250</v>
      </c>
      <c r="W6" s="3">
        <v>250</v>
      </c>
      <c r="X6" s="3" t="str">
        <f t="shared" si="1"/>
        <v>Class1 - P1 - line_distance_10</v>
      </c>
    </row>
    <row r="7" spans="1:24" x14ac:dyDescent="0.3">
      <c r="A7" s="2" t="s">
        <v>25</v>
      </c>
      <c r="B7" s="3" t="s">
        <v>9</v>
      </c>
      <c r="C7" s="3" t="s">
        <v>10</v>
      </c>
      <c r="D7" s="3" t="s">
        <v>15</v>
      </c>
      <c r="E7" s="4">
        <v>6.6867153048971204</v>
      </c>
      <c r="F7" s="4">
        <v>2.1308761814383199E-2</v>
      </c>
      <c r="G7" s="4">
        <v>6.6867626552402797</v>
      </c>
      <c r="H7" s="3">
        <v>3.82</v>
      </c>
      <c r="I7" s="3">
        <v>250</v>
      </c>
      <c r="J7" s="3">
        <v>143</v>
      </c>
      <c r="K7" s="3"/>
      <c r="L7" s="3" t="str">
        <f t="shared" si="0"/>
        <v/>
      </c>
      <c r="M7" s="3"/>
      <c r="N7" s="2" t="s">
        <v>27</v>
      </c>
      <c r="O7" s="3" t="s">
        <v>9</v>
      </c>
      <c r="P7" s="3" t="s">
        <v>10</v>
      </c>
      <c r="Q7" s="3" t="s">
        <v>15</v>
      </c>
      <c r="R7" s="4">
        <v>2.92205879137697</v>
      </c>
      <c r="S7" s="4">
        <v>1.25779723344274E-2</v>
      </c>
      <c r="T7" s="4">
        <v>2.9220973667297501</v>
      </c>
      <c r="U7" s="3">
        <v>3.4039999999999999</v>
      </c>
      <c r="V7" s="3">
        <v>250</v>
      </c>
      <c r="W7" s="3">
        <v>132</v>
      </c>
      <c r="X7" s="3" t="str">
        <f t="shared" si="1"/>
        <v/>
      </c>
    </row>
    <row r="8" spans="1:24" x14ac:dyDescent="0.3">
      <c r="A8" s="2" t="s">
        <v>25</v>
      </c>
      <c r="B8" s="3" t="s">
        <v>9</v>
      </c>
      <c r="C8" s="3" t="s">
        <v>10</v>
      </c>
      <c r="D8" s="3" t="s">
        <v>16</v>
      </c>
      <c r="E8" s="4">
        <v>4.3739837398373904</v>
      </c>
      <c r="F8" s="3">
        <v>3.2834824164535897E-2</v>
      </c>
      <c r="G8" s="4">
        <v>4.3741564220726303</v>
      </c>
      <c r="H8" s="3">
        <v>1.3160000000000001</v>
      </c>
      <c r="I8" s="3">
        <v>250</v>
      </c>
      <c r="J8" s="3">
        <v>246</v>
      </c>
      <c r="K8" s="3"/>
      <c r="L8" s="3" t="str">
        <f t="shared" si="0"/>
        <v/>
      </c>
      <c r="M8" s="3"/>
      <c r="N8" s="2" t="s">
        <v>27</v>
      </c>
      <c r="O8" s="3" t="s">
        <v>9</v>
      </c>
      <c r="P8" s="3" t="s">
        <v>10</v>
      </c>
      <c r="Q8" s="3" t="s">
        <v>16</v>
      </c>
      <c r="R8" s="3">
        <v>2.6019999999999999</v>
      </c>
      <c r="S8" s="4">
        <v>2.9345355210180699E-2</v>
      </c>
      <c r="T8" s="4">
        <v>2.6021777856769699</v>
      </c>
      <c r="U8" s="3">
        <v>1.204</v>
      </c>
      <c r="V8" s="3">
        <v>250</v>
      </c>
      <c r="W8" s="3">
        <v>250</v>
      </c>
      <c r="X8" s="3" t="str">
        <f t="shared" si="1"/>
        <v>Class1 - P1 - wavelet</v>
      </c>
    </row>
    <row r="9" spans="1:24" x14ac:dyDescent="0.3">
      <c r="A9" s="2" t="s">
        <v>25</v>
      </c>
      <c r="B9" t="s">
        <v>9</v>
      </c>
      <c r="C9" t="s">
        <v>17</v>
      </c>
      <c r="D9" t="s">
        <v>11</v>
      </c>
      <c r="E9" s="1">
        <v>22.695934959349501</v>
      </c>
      <c r="F9">
        <v>8.5136734818048898E-2</v>
      </c>
      <c r="G9" s="1">
        <v>22.696232664083102</v>
      </c>
      <c r="H9">
        <v>1.1639999999999999</v>
      </c>
      <c r="I9">
        <v>250</v>
      </c>
      <c r="J9">
        <v>205</v>
      </c>
      <c r="L9" s="3" t="str">
        <f t="shared" ref="L4:L62" si="2">IF(AND($H9&lt;1.5, $H9&gt;0.8, $G9&lt;5),
   $B9 &amp; " - " &amp; $C9 &amp; " - " &amp; $D9,
   "")</f>
        <v/>
      </c>
      <c r="N9" s="2" t="s">
        <v>27</v>
      </c>
      <c r="O9" t="s">
        <v>9</v>
      </c>
      <c r="P9" t="s">
        <v>17</v>
      </c>
      <c r="Q9" t="s">
        <v>11</v>
      </c>
      <c r="R9">
        <v>5.5614035087719298</v>
      </c>
      <c r="S9" s="1">
        <v>1.47964840238279E-2</v>
      </c>
      <c r="T9" s="1">
        <v>5.5614365793570197</v>
      </c>
      <c r="U9">
        <v>0.45600000000000002</v>
      </c>
      <c r="V9">
        <v>250</v>
      </c>
      <c r="W9">
        <v>114</v>
      </c>
      <c r="X9" s="3" t="str">
        <f t="shared" si="1"/>
        <v/>
      </c>
    </row>
    <row r="10" spans="1:24" x14ac:dyDescent="0.3">
      <c r="A10" s="2" t="s">
        <v>25</v>
      </c>
      <c r="B10" t="s">
        <v>9</v>
      </c>
      <c r="C10" t="s">
        <v>17</v>
      </c>
      <c r="D10" t="s">
        <v>12</v>
      </c>
      <c r="E10" s="1">
        <v>18.348728246318601</v>
      </c>
      <c r="F10">
        <v>7.7067967034686602E-2</v>
      </c>
      <c r="G10" s="1">
        <v>18.348986670710399</v>
      </c>
      <c r="H10">
        <v>1.976</v>
      </c>
      <c r="I10">
        <v>250</v>
      </c>
      <c r="J10">
        <v>249</v>
      </c>
      <c r="L10" s="3" t="str">
        <f t="shared" si="2"/>
        <v/>
      </c>
      <c r="N10" s="2" t="s">
        <v>27</v>
      </c>
      <c r="O10" t="s">
        <v>9</v>
      </c>
      <c r="P10" t="s">
        <v>17</v>
      </c>
      <c r="Q10" t="s">
        <v>12</v>
      </c>
      <c r="R10" s="1">
        <v>3.92369477911646</v>
      </c>
      <c r="S10">
        <v>2.0205038940615601E-2</v>
      </c>
      <c r="T10" s="1">
        <v>3.9237742747370699</v>
      </c>
      <c r="U10">
        <v>1</v>
      </c>
      <c r="V10">
        <v>250</v>
      </c>
      <c r="W10">
        <v>249</v>
      </c>
      <c r="X10" s="3" t="str">
        <f t="shared" si="1"/>
        <v>Class1 - P2 - curvature</v>
      </c>
    </row>
    <row r="11" spans="1:24" x14ac:dyDescent="0.3">
      <c r="A11" s="2" t="s">
        <v>25</v>
      </c>
      <c r="B11" t="s">
        <v>9</v>
      </c>
      <c r="C11" t="s">
        <v>17</v>
      </c>
      <c r="D11" t="s">
        <v>13</v>
      </c>
      <c r="E11" s="1">
        <v>24.878861788617801</v>
      </c>
      <c r="F11">
        <v>8.2820766632397402E-2</v>
      </c>
      <c r="G11" s="1">
        <v>24.8790804665134</v>
      </c>
      <c r="H11">
        <v>1.1639999999999999</v>
      </c>
      <c r="I11">
        <v>250</v>
      </c>
      <c r="J11">
        <v>205</v>
      </c>
      <c r="L11" s="3" t="str">
        <f t="shared" si="2"/>
        <v/>
      </c>
      <c r="N11" s="2" t="s">
        <v>27</v>
      </c>
      <c r="O11" t="s">
        <v>9</v>
      </c>
      <c r="P11" t="s">
        <v>17</v>
      </c>
      <c r="Q11" t="s">
        <v>13</v>
      </c>
      <c r="R11">
        <v>5.6875</v>
      </c>
      <c r="S11" s="1">
        <v>1.47476507902135E-2</v>
      </c>
      <c r="T11" s="1">
        <v>5.6875323141290801</v>
      </c>
      <c r="U11">
        <v>0.44800000000000001</v>
      </c>
      <c r="V11">
        <v>250</v>
      </c>
      <c r="W11">
        <v>112</v>
      </c>
      <c r="X11" s="3" t="str">
        <f t="shared" si="1"/>
        <v/>
      </c>
    </row>
    <row r="12" spans="1:24" x14ac:dyDescent="0.3">
      <c r="A12" s="2" t="s">
        <v>25</v>
      </c>
      <c r="B12" t="s">
        <v>9</v>
      </c>
      <c r="C12" t="s">
        <v>17</v>
      </c>
      <c r="D12" t="s">
        <v>14</v>
      </c>
      <c r="E12" s="1">
        <v>17.542011019283699</v>
      </c>
      <c r="F12">
        <v>6.4110476834194602E-2</v>
      </c>
      <c r="G12" s="1">
        <v>17.542211039408699</v>
      </c>
      <c r="H12">
        <v>1.6080000000000001</v>
      </c>
      <c r="I12">
        <v>250</v>
      </c>
      <c r="J12">
        <v>242</v>
      </c>
      <c r="L12" s="3" t="str">
        <f t="shared" si="2"/>
        <v/>
      </c>
      <c r="N12" s="2" t="s">
        <v>27</v>
      </c>
      <c r="O12" t="s">
        <v>9</v>
      </c>
      <c r="P12" t="s">
        <v>17</v>
      </c>
      <c r="Q12" t="s">
        <v>14</v>
      </c>
      <c r="R12" s="1">
        <v>3.9860465116279</v>
      </c>
      <c r="S12" s="1">
        <v>1.8240228292908899E-2</v>
      </c>
      <c r="T12" s="1">
        <v>3.9861143017259</v>
      </c>
      <c r="U12">
        <v>0.86</v>
      </c>
      <c r="V12">
        <v>250</v>
      </c>
      <c r="W12">
        <v>215</v>
      </c>
      <c r="X12" s="3" t="str">
        <f t="shared" si="1"/>
        <v>Class1 - P2 - line_distance_10</v>
      </c>
    </row>
    <row r="13" spans="1:24" x14ac:dyDescent="0.3">
      <c r="A13" s="2" t="s">
        <v>25</v>
      </c>
      <c r="B13" t="s">
        <v>9</v>
      </c>
      <c r="C13" t="s">
        <v>17</v>
      </c>
      <c r="D13" t="s">
        <v>15</v>
      </c>
      <c r="E13" s="1">
        <v>23.375858882365701</v>
      </c>
      <c r="F13">
        <v>9.6212678287120199E-2</v>
      </c>
      <c r="G13" s="1">
        <v>23.376263493429398</v>
      </c>
      <c r="H13">
        <v>6.3479999999999999</v>
      </c>
      <c r="I13">
        <v>250</v>
      </c>
      <c r="J13">
        <v>219</v>
      </c>
      <c r="L13" s="3" t="str">
        <f t="shared" si="2"/>
        <v/>
      </c>
      <c r="N13" s="2" t="s">
        <v>27</v>
      </c>
      <c r="O13" t="s">
        <v>9</v>
      </c>
      <c r="P13" t="s">
        <v>17</v>
      </c>
      <c r="Q13" t="s">
        <v>15</v>
      </c>
      <c r="R13" s="1">
        <v>7.3756512006512001</v>
      </c>
      <c r="S13" s="1">
        <v>1.9876408920839899E-2</v>
      </c>
      <c r="T13" s="1">
        <v>7.37569744238733</v>
      </c>
      <c r="U13">
        <v>1.9279999999999999</v>
      </c>
      <c r="V13">
        <v>250</v>
      </c>
      <c r="W13">
        <v>78</v>
      </c>
      <c r="X13" s="3" t="str">
        <f t="shared" si="1"/>
        <v/>
      </c>
    </row>
    <row r="14" spans="1:24" x14ac:dyDescent="0.3">
      <c r="A14" s="2" t="s">
        <v>25</v>
      </c>
      <c r="B14" t="s">
        <v>9</v>
      </c>
      <c r="C14" t="s">
        <v>17</v>
      </c>
      <c r="D14" t="s">
        <v>16</v>
      </c>
      <c r="E14" s="1">
        <v>18.4421017402945</v>
      </c>
      <c r="F14">
        <v>7.3111149732878702E-2</v>
      </c>
      <c r="G14">
        <v>18.4423372651794</v>
      </c>
      <c r="H14">
        <v>2.1560000000000001</v>
      </c>
      <c r="I14">
        <v>250</v>
      </c>
      <c r="J14">
        <v>249</v>
      </c>
      <c r="L14" s="3" t="str">
        <f t="shared" si="2"/>
        <v/>
      </c>
      <c r="N14" s="2" t="s">
        <v>27</v>
      </c>
      <c r="O14" t="s">
        <v>9</v>
      </c>
      <c r="P14" t="s">
        <v>17</v>
      </c>
      <c r="Q14" t="s">
        <v>16</v>
      </c>
      <c r="R14" s="1">
        <v>4.1342975206611499</v>
      </c>
      <c r="S14">
        <v>2.1399083286545099E-2</v>
      </c>
      <c r="T14" s="1">
        <v>4.1343827945906204</v>
      </c>
      <c r="U14">
        <v>1.0680000000000001</v>
      </c>
      <c r="V14">
        <v>250</v>
      </c>
      <c r="W14">
        <v>242</v>
      </c>
      <c r="X14" s="3" t="str">
        <f t="shared" si="1"/>
        <v/>
      </c>
    </row>
    <row r="15" spans="1:24" x14ac:dyDescent="0.3">
      <c r="A15" s="2" t="s">
        <v>25</v>
      </c>
      <c r="B15" s="3" t="s">
        <v>9</v>
      </c>
      <c r="C15" s="3" t="s">
        <v>18</v>
      </c>
      <c r="D15" s="3" t="s">
        <v>11</v>
      </c>
      <c r="E15" s="4">
        <v>6.0517241379310303</v>
      </c>
      <c r="F15" s="3">
        <v>1.80596326866207E-2</v>
      </c>
      <c r="G15" s="4">
        <v>6.0517690929241397</v>
      </c>
      <c r="H15" s="3">
        <v>1.1559999999999999</v>
      </c>
      <c r="I15" s="3">
        <v>250</v>
      </c>
      <c r="J15" s="3">
        <v>232</v>
      </c>
      <c r="K15" s="3"/>
      <c r="L15" s="3" t="str">
        <f>IF(AND($H15&lt;1.5, $H15&gt;0.8, $G15&lt;10),
   $B15 &amp; " - " &amp; $C15 &amp; " - " &amp; $D15,
   "")</f>
        <v>Class1 - P3 - concave</v>
      </c>
      <c r="M15" s="3"/>
      <c r="N15" s="2" t="s">
        <v>27</v>
      </c>
      <c r="O15" s="3" t="s">
        <v>9</v>
      </c>
      <c r="P15" s="3" t="s">
        <v>18</v>
      </c>
      <c r="Q15" s="3" t="s">
        <v>11</v>
      </c>
      <c r="R15" s="4">
        <v>1.77830188679245</v>
      </c>
      <c r="S15" s="3">
        <v>2.7539068056728899E-3</v>
      </c>
      <c r="T15" s="4">
        <v>1.77830583200033</v>
      </c>
      <c r="U15" s="3">
        <v>0.84799999999999998</v>
      </c>
      <c r="V15" s="3">
        <v>250</v>
      </c>
      <c r="W15" s="3">
        <v>212</v>
      </c>
      <c r="X15" s="3" t="str">
        <f>IF(AND($U15&lt;1.5, $U15&gt;0.8, $T15&lt;5),
   $O15 &amp; " - " &amp; $P15 &amp; " - " &amp; $Q15,
   "")</f>
        <v>Class1 - P3 - concave</v>
      </c>
    </row>
    <row r="16" spans="1:24" x14ac:dyDescent="0.3">
      <c r="A16" s="2" t="s">
        <v>25</v>
      </c>
      <c r="B16" s="3" t="s">
        <v>9</v>
      </c>
      <c r="C16" s="3" t="s">
        <v>18</v>
      </c>
      <c r="D16" s="3" t="s">
        <v>12</v>
      </c>
      <c r="E16" s="4">
        <v>20.793666666666599</v>
      </c>
      <c r="F16" s="4">
        <v>0.115625007773502</v>
      </c>
      <c r="G16" s="4">
        <v>20.7940901935558</v>
      </c>
      <c r="H16" s="3">
        <v>2.38</v>
      </c>
      <c r="I16" s="3">
        <v>250</v>
      </c>
      <c r="J16" s="3">
        <v>250</v>
      </c>
      <c r="K16" s="3"/>
      <c r="L16" s="3" t="str">
        <f t="shared" ref="L16:L20" si="3">IF(AND($H16&lt;1.5, $H16&gt;0.8, $G16&lt;10),
   $B16 &amp; " - " &amp; $C16 &amp; " - " &amp; $D16,
   "")</f>
        <v/>
      </c>
      <c r="M16" s="3"/>
      <c r="N16" s="2" t="s">
        <v>27</v>
      </c>
      <c r="O16" s="3" t="s">
        <v>9</v>
      </c>
      <c r="P16" s="3" t="s">
        <v>18</v>
      </c>
      <c r="Q16" s="3" t="s">
        <v>12</v>
      </c>
      <c r="R16" s="3">
        <v>7.3719999999999999</v>
      </c>
      <c r="S16" s="4">
        <v>3.8169060118780199E-2</v>
      </c>
      <c r="T16" s="4">
        <v>7.3721287232017998</v>
      </c>
      <c r="U16" s="3">
        <v>1.1719999999999999</v>
      </c>
      <c r="V16" s="3">
        <v>250</v>
      </c>
      <c r="W16" s="3">
        <v>250</v>
      </c>
      <c r="X16" s="3" t="str">
        <f>IF(AND($U16&lt;1.5, $U16&gt;0.8, $T16&lt;5),
   $O16 &amp; " - " &amp; $P16 &amp; " - " &amp; $Q16,
   "")</f>
        <v/>
      </c>
    </row>
    <row r="17" spans="1:25" x14ac:dyDescent="0.3">
      <c r="A17" s="2" t="s">
        <v>25</v>
      </c>
      <c r="B17" s="3" t="s">
        <v>9</v>
      </c>
      <c r="C17" s="3" t="s">
        <v>18</v>
      </c>
      <c r="D17" s="3" t="s">
        <v>13</v>
      </c>
      <c r="E17" s="3">
        <v>6.9795197740113002</v>
      </c>
      <c r="F17" s="3">
        <v>1.99988845584274E-2</v>
      </c>
      <c r="G17" s="4">
        <v>6.9795688648348202</v>
      </c>
      <c r="H17" s="3">
        <v>1.2</v>
      </c>
      <c r="I17" s="3">
        <v>250</v>
      </c>
      <c r="J17" s="3">
        <v>236</v>
      </c>
      <c r="K17" s="3"/>
      <c r="L17" s="3" t="str">
        <f t="shared" si="3"/>
        <v>Class1 - P3 - hilbert</v>
      </c>
      <c r="M17" s="3"/>
      <c r="N17" s="2" t="s">
        <v>27</v>
      </c>
      <c r="O17" s="3" t="s">
        <v>9</v>
      </c>
      <c r="P17" s="3" t="s">
        <v>18</v>
      </c>
      <c r="Q17" s="3" t="s">
        <v>13</v>
      </c>
      <c r="R17" s="4">
        <v>2.6376146788990802</v>
      </c>
      <c r="S17" s="3">
        <v>4.1789015341291503E-3</v>
      </c>
      <c r="T17" s="4">
        <v>2.6376206401214399</v>
      </c>
      <c r="U17" s="3">
        <v>0.872</v>
      </c>
      <c r="V17" s="3">
        <v>250</v>
      </c>
      <c r="W17" s="3">
        <v>218</v>
      </c>
      <c r="X17" s="3" t="str">
        <f>IF(AND($U17&lt;1.5, $U17&gt;0.8, $T17&lt;5),
   $O17 &amp; " - " &amp; $P17 &amp; " - " &amp; $Q17,
   "")</f>
        <v>Class1 - P3 - hilbert</v>
      </c>
    </row>
    <row r="18" spans="1:25" x14ac:dyDescent="0.3">
      <c r="A18" s="2" t="s">
        <v>25</v>
      </c>
      <c r="B18" s="3" t="s">
        <v>9</v>
      </c>
      <c r="C18" s="3" t="s">
        <v>18</v>
      </c>
      <c r="D18" s="3" t="s">
        <v>14</v>
      </c>
      <c r="E18" s="3">
        <v>18.239000000000001</v>
      </c>
      <c r="F18" s="3">
        <v>9.6121067754665404E-2</v>
      </c>
      <c r="G18" s="4">
        <v>18.239340782079999</v>
      </c>
      <c r="H18" s="3">
        <v>1.952</v>
      </c>
      <c r="I18" s="3">
        <v>250</v>
      </c>
      <c r="J18" s="3">
        <v>250</v>
      </c>
      <c r="K18" s="3"/>
      <c r="L18" s="3" t="str">
        <f t="shared" si="3"/>
        <v/>
      </c>
      <c r="M18" s="3"/>
      <c r="N18" s="2" t="s">
        <v>27</v>
      </c>
      <c r="O18" s="3" t="s">
        <v>9</v>
      </c>
      <c r="P18" s="3" t="s">
        <v>18</v>
      </c>
      <c r="Q18" s="3" t="s">
        <v>14</v>
      </c>
      <c r="R18" s="4">
        <v>6.8211382113821104</v>
      </c>
      <c r="S18" s="3">
        <v>3.1776657667705099E-2</v>
      </c>
      <c r="T18" s="4">
        <v>6.8212408763070096</v>
      </c>
      <c r="U18" s="3">
        <v>0.98399999999999999</v>
      </c>
      <c r="V18" s="3">
        <v>250</v>
      </c>
      <c r="W18" s="3">
        <v>246</v>
      </c>
      <c r="X18" s="3" t="str">
        <f>IF(AND($U18&lt;1.5, $U18&gt;0.8, $T18&lt;5),
   $O18 &amp; " - " &amp; $P18 &amp; " - " &amp; $Q18,
   "")</f>
        <v/>
      </c>
    </row>
    <row r="19" spans="1:25" x14ac:dyDescent="0.3">
      <c r="A19" s="2" t="s">
        <v>25</v>
      </c>
      <c r="B19" s="3" t="s">
        <v>9</v>
      </c>
      <c r="C19" s="3" t="s">
        <v>18</v>
      </c>
      <c r="D19" s="3" t="s">
        <v>15</v>
      </c>
      <c r="E19" s="4">
        <v>10.2219398166367</v>
      </c>
      <c r="F19" s="3">
        <v>4.1569663541907102E-2</v>
      </c>
      <c r="G19" s="4">
        <v>10.222067096912401</v>
      </c>
      <c r="H19" s="3">
        <v>5.9320000000000004</v>
      </c>
      <c r="I19" s="3">
        <v>250</v>
      </c>
      <c r="J19" s="3">
        <v>198</v>
      </c>
      <c r="K19" s="3"/>
      <c r="L19" s="3" t="str">
        <f t="shared" si="3"/>
        <v/>
      </c>
      <c r="M19" s="3"/>
      <c r="N19" s="2" t="s">
        <v>27</v>
      </c>
      <c r="O19" s="3" t="s">
        <v>9</v>
      </c>
      <c r="P19" s="3" t="s">
        <v>18</v>
      </c>
      <c r="Q19" s="3" t="s">
        <v>15</v>
      </c>
      <c r="R19" s="4">
        <v>2.7339573070607499</v>
      </c>
      <c r="S19" s="3">
        <v>5.0573150509926404E-3</v>
      </c>
      <c r="T19" s="4">
        <v>2.7339657770961798</v>
      </c>
      <c r="U19" s="3">
        <v>4.1920000000000002</v>
      </c>
      <c r="V19" s="3">
        <v>250</v>
      </c>
      <c r="W19" s="3">
        <v>145</v>
      </c>
      <c r="X19" s="3" t="str">
        <f>IF(AND($U19&lt;1.5, $U19&gt;0.8, $T19&lt;5),
   $O19 &amp; " - " &amp; $P19 &amp; " - " &amp; $Q19,
   "")</f>
        <v/>
      </c>
    </row>
    <row r="20" spans="1:25" x14ac:dyDescent="0.3">
      <c r="A20" s="2" t="s">
        <v>25</v>
      </c>
      <c r="B20" s="3" t="s">
        <v>9</v>
      </c>
      <c r="C20" s="3" t="s">
        <v>18</v>
      </c>
      <c r="D20" s="3" t="s">
        <v>16</v>
      </c>
      <c r="E20" s="4">
        <v>20.258866666666599</v>
      </c>
      <c r="F20" s="4">
        <v>0.110019489446048</v>
      </c>
      <c r="G20" s="4">
        <v>20.259268747802501</v>
      </c>
      <c r="H20" s="3">
        <v>2.6880000000000002</v>
      </c>
      <c r="I20" s="3">
        <v>250</v>
      </c>
      <c r="J20" s="3">
        <v>250</v>
      </c>
      <c r="K20" s="3"/>
      <c r="L20" s="3" t="str">
        <f t="shared" si="3"/>
        <v/>
      </c>
      <c r="M20" s="3"/>
      <c r="N20" s="2" t="s">
        <v>27</v>
      </c>
      <c r="O20" s="3" t="s">
        <v>9</v>
      </c>
      <c r="P20" s="3" t="s">
        <v>18</v>
      </c>
      <c r="Q20" s="3" t="s">
        <v>16</v>
      </c>
      <c r="R20" s="4">
        <v>7.2604166666666599</v>
      </c>
      <c r="S20" s="4">
        <v>3.6160572856344698E-2</v>
      </c>
      <c r="T20" s="4">
        <v>7.2605379110596697</v>
      </c>
      <c r="U20" s="3">
        <v>1.3520000000000001</v>
      </c>
      <c r="V20" s="3">
        <v>250</v>
      </c>
      <c r="W20" s="3">
        <v>248</v>
      </c>
      <c r="X20" s="3" t="str">
        <f>IF(AND($U20&lt;1.5, $U20&gt;0.8, $T20&lt;5),
   $O20 &amp; " - " &amp; $P20 &amp; " - " &amp; $Q20,
   "")</f>
        <v/>
      </c>
    </row>
    <row r="21" spans="1:25" x14ac:dyDescent="0.3">
      <c r="A21" s="2" t="s">
        <v>25</v>
      </c>
      <c r="B21" t="s">
        <v>19</v>
      </c>
      <c r="C21" t="s">
        <v>10</v>
      </c>
      <c r="D21" t="s">
        <v>11</v>
      </c>
      <c r="E21">
        <v>6.859375</v>
      </c>
      <c r="F21" s="1">
        <v>2.2861171549830899E-2</v>
      </c>
      <c r="G21" s="1">
        <v>6.85943310731769</v>
      </c>
      <c r="H21">
        <v>1.1599999999999999</v>
      </c>
      <c r="I21">
        <v>250</v>
      </c>
      <c r="J21">
        <v>224</v>
      </c>
      <c r="L21" s="3" t="str">
        <f t="shared" si="2"/>
        <v/>
      </c>
      <c r="N21" s="2" t="s">
        <v>27</v>
      </c>
      <c r="O21" t="s">
        <v>19</v>
      </c>
      <c r="P21" t="s">
        <v>10</v>
      </c>
      <c r="Q21" t="s">
        <v>11</v>
      </c>
      <c r="R21" s="1">
        <v>2.23684210526315</v>
      </c>
      <c r="S21" s="1">
        <v>1.2065438024028499E-2</v>
      </c>
      <c r="T21" s="1">
        <v>2.2368846705046099</v>
      </c>
      <c r="U21">
        <v>0.91200000000000003</v>
      </c>
      <c r="V21">
        <v>250</v>
      </c>
      <c r="W21">
        <v>228</v>
      </c>
      <c r="X21" s="3" t="str">
        <f>IF(AND($U21&lt;1.5, $U21&gt;0.8, $T21&lt;4),
   $O21 &amp; " - " &amp; $P21 &amp; " - " &amp; $Q21,
   "")</f>
        <v>Class2 - P1 - concave</v>
      </c>
    </row>
    <row r="22" spans="1:25" x14ac:dyDescent="0.3">
      <c r="A22" s="2" t="s">
        <v>25</v>
      </c>
      <c r="B22" t="s">
        <v>19</v>
      </c>
      <c r="C22" t="s">
        <v>10</v>
      </c>
      <c r="D22" t="s">
        <v>12</v>
      </c>
      <c r="E22" s="1">
        <v>9.0798319327731001</v>
      </c>
      <c r="F22">
        <v>6.1959682032616301E-2</v>
      </c>
      <c r="G22" s="1">
        <v>9.0802353549904993</v>
      </c>
      <c r="H22">
        <v>1.3240000000000001</v>
      </c>
      <c r="I22">
        <v>250</v>
      </c>
      <c r="J22">
        <v>238</v>
      </c>
      <c r="L22" s="3" t="str">
        <f t="shared" si="2"/>
        <v/>
      </c>
      <c r="N22" s="2" t="s">
        <v>27</v>
      </c>
      <c r="O22" t="s">
        <v>19</v>
      </c>
      <c r="P22" t="s">
        <v>10</v>
      </c>
      <c r="Q22" t="s">
        <v>12</v>
      </c>
      <c r="R22">
        <v>4.3559999999999999</v>
      </c>
      <c r="S22" s="1">
        <v>6.1113337456256502E-2</v>
      </c>
      <c r="T22" s="1">
        <v>4.3564983106508102</v>
      </c>
      <c r="U22">
        <v>1.048</v>
      </c>
      <c r="V22">
        <v>250</v>
      </c>
      <c r="W22">
        <v>250</v>
      </c>
      <c r="X22" s="3" t="str">
        <f t="shared" ref="X22:X32" si="4">IF(AND($U22&lt;1.5, $U22&gt;0.8, $T22&lt;4),
   $O22 &amp; " - " &amp; $P22 &amp; " - " &amp; $Q22,
   "")</f>
        <v/>
      </c>
    </row>
    <row r="23" spans="1:25" x14ac:dyDescent="0.3">
      <c r="A23" s="2" t="s">
        <v>25</v>
      </c>
      <c r="B23" t="s">
        <v>19</v>
      </c>
      <c r="C23" t="s">
        <v>10</v>
      </c>
      <c r="D23" t="s">
        <v>13</v>
      </c>
      <c r="E23">
        <v>7.5</v>
      </c>
      <c r="F23" s="1">
        <v>5.0503834730361498E-2</v>
      </c>
      <c r="G23" s="1">
        <v>7.5003028439611201</v>
      </c>
      <c r="H23">
        <v>1.288</v>
      </c>
      <c r="I23">
        <v>250</v>
      </c>
      <c r="J23">
        <v>240</v>
      </c>
      <c r="L23" s="3" t="str">
        <f t="shared" si="2"/>
        <v/>
      </c>
      <c r="N23" s="2" t="s">
        <v>27</v>
      </c>
      <c r="O23" t="s">
        <v>19</v>
      </c>
      <c r="P23" t="s">
        <v>10</v>
      </c>
      <c r="Q23" t="s">
        <v>13</v>
      </c>
      <c r="R23">
        <v>3.3279999999999998</v>
      </c>
      <c r="S23">
        <v>4.5403848232562299E-2</v>
      </c>
      <c r="T23" s="1">
        <v>3.3283487612372999</v>
      </c>
      <c r="U23">
        <v>1</v>
      </c>
      <c r="V23">
        <v>250</v>
      </c>
      <c r="W23">
        <v>250</v>
      </c>
      <c r="X23" s="3" t="str">
        <f t="shared" si="4"/>
        <v>Class2 - P1 - hilbert</v>
      </c>
    </row>
    <row r="24" spans="1:25" x14ac:dyDescent="0.3">
      <c r="A24" s="2" t="s">
        <v>25</v>
      </c>
      <c r="B24" t="s">
        <v>19</v>
      </c>
      <c r="C24" t="s">
        <v>10</v>
      </c>
      <c r="D24" t="s">
        <v>14</v>
      </c>
      <c r="E24" s="1">
        <v>7.8583333333333298</v>
      </c>
      <c r="F24">
        <v>4.7416809307626297E-2</v>
      </c>
      <c r="G24" s="1">
        <v>7.8585965693944502</v>
      </c>
      <c r="H24">
        <v>1.288</v>
      </c>
      <c r="I24">
        <v>250</v>
      </c>
      <c r="J24">
        <v>240</v>
      </c>
      <c r="L24" s="3" t="str">
        <f t="shared" si="2"/>
        <v/>
      </c>
      <c r="N24" s="2" t="s">
        <v>27</v>
      </c>
      <c r="O24" t="s">
        <v>19</v>
      </c>
      <c r="P24" t="s">
        <v>10</v>
      </c>
      <c r="Q24" t="s">
        <v>14</v>
      </c>
      <c r="R24">
        <v>3.2759999999999998</v>
      </c>
      <c r="S24" s="1">
        <v>4.3592535309452903E-2</v>
      </c>
      <c r="T24" s="1">
        <v>3.2763211372187402</v>
      </c>
      <c r="U24">
        <v>1</v>
      </c>
      <c r="V24">
        <v>250</v>
      </c>
      <c r="W24">
        <v>250</v>
      </c>
      <c r="X24" s="3" t="str">
        <f t="shared" si="4"/>
        <v>Class2 - P1 - line_distance_10</v>
      </c>
    </row>
    <row r="25" spans="1:25" x14ac:dyDescent="0.3">
      <c r="A25" s="2" t="s">
        <v>25</v>
      </c>
      <c r="B25" t="s">
        <v>19</v>
      </c>
      <c r="C25" t="s">
        <v>10</v>
      </c>
      <c r="D25" t="s">
        <v>15</v>
      </c>
      <c r="E25" s="1">
        <v>20.371305462214501</v>
      </c>
      <c r="F25">
        <v>5.3343236234888097E-2</v>
      </c>
      <c r="G25" s="1">
        <v>20.371409320721199</v>
      </c>
      <c r="H25">
        <v>1.952</v>
      </c>
      <c r="I25">
        <v>250</v>
      </c>
      <c r="J25">
        <v>88</v>
      </c>
      <c r="L25" s="3" t="str">
        <f t="shared" si="2"/>
        <v/>
      </c>
      <c r="N25" s="2" t="s">
        <v>27</v>
      </c>
      <c r="O25" t="s">
        <v>19</v>
      </c>
      <c r="P25" t="s">
        <v>10</v>
      </c>
      <c r="Q25" t="s">
        <v>15</v>
      </c>
      <c r="R25" s="1">
        <v>5.5565476190476097</v>
      </c>
      <c r="S25">
        <v>1.7610134195591501E-2</v>
      </c>
      <c r="T25" s="1">
        <v>5.55659372873163</v>
      </c>
      <c r="U25">
        <v>0.66</v>
      </c>
      <c r="V25">
        <v>250</v>
      </c>
      <c r="W25">
        <v>28</v>
      </c>
      <c r="X25" s="3" t="str">
        <f t="shared" si="4"/>
        <v/>
      </c>
    </row>
    <row r="26" spans="1:25" x14ac:dyDescent="0.3">
      <c r="A26" s="2" t="s">
        <v>25</v>
      </c>
      <c r="B26" t="s">
        <v>19</v>
      </c>
      <c r="C26" t="s">
        <v>10</v>
      </c>
      <c r="D26" t="s">
        <v>16</v>
      </c>
      <c r="E26" s="1">
        <v>7.7195712309820097</v>
      </c>
      <c r="F26" s="1">
        <v>4.5011887837205299E-2</v>
      </c>
      <c r="G26" s="1">
        <v>7.7198149293053397</v>
      </c>
      <c r="H26">
        <v>1.6279999999999999</v>
      </c>
      <c r="I26">
        <v>250</v>
      </c>
      <c r="J26">
        <v>241</v>
      </c>
      <c r="L26" s="3" t="str">
        <f t="shared" si="2"/>
        <v/>
      </c>
      <c r="N26" s="2" t="s">
        <v>27</v>
      </c>
      <c r="O26" t="s">
        <v>19</v>
      </c>
      <c r="P26" t="s">
        <v>10</v>
      </c>
      <c r="Q26" t="s">
        <v>16</v>
      </c>
      <c r="R26">
        <v>3.4060000000000001</v>
      </c>
      <c r="S26">
        <v>4.0752192138632598E-2</v>
      </c>
      <c r="T26" s="1">
        <v>3.40628043578758</v>
      </c>
      <c r="U26">
        <v>1.304</v>
      </c>
      <c r="V26">
        <v>250</v>
      </c>
      <c r="W26">
        <v>250</v>
      </c>
      <c r="X26" s="3" t="str">
        <f t="shared" si="4"/>
        <v>Class2 - P1 - wavelet</v>
      </c>
    </row>
    <row r="27" spans="1:25" x14ac:dyDescent="0.3">
      <c r="A27" s="2" t="s">
        <v>25</v>
      </c>
      <c r="B27" s="3" t="s">
        <v>19</v>
      </c>
      <c r="C27" s="3" t="s">
        <v>17</v>
      </c>
      <c r="D27" s="3" t="s">
        <v>11</v>
      </c>
      <c r="E27" s="4">
        <v>12.815500685870999</v>
      </c>
      <c r="F27" s="4">
        <v>2.97291346547571E-2</v>
      </c>
      <c r="G27" s="4">
        <v>12.8155534591218</v>
      </c>
      <c r="H27" s="3">
        <v>1.66</v>
      </c>
      <c r="I27" s="3">
        <v>250</v>
      </c>
      <c r="J27" s="3">
        <v>243</v>
      </c>
      <c r="K27" s="3"/>
      <c r="L27" s="3" t="str">
        <f t="shared" si="2"/>
        <v/>
      </c>
      <c r="M27" s="3"/>
      <c r="N27" s="2" t="s">
        <v>27</v>
      </c>
      <c r="O27" s="3" t="s">
        <v>19</v>
      </c>
      <c r="P27" s="3" t="s">
        <v>17</v>
      </c>
      <c r="Q27" s="3" t="s">
        <v>11</v>
      </c>
      <c r="R27" s="3">
        <v>2.3165137614678901</v>
      </c>
      <c r="S27" s="3">
        <v>6.3263057026177001E-3</v>
      </c>
      <c r="T27" s="4">
        <v>2.3165264510291999</v>
      </c>
      <c r="U27" s="3">
        <v>0.872</v>
      </c>
      <c r="V27" s="3">
        <v>250</v>
      </c>
      <c r="W27" s="3">
        <v>218</v>
      </c>
      <c r="X27" s="3" t="str">
        <f t="shared" si="4"/>
        <v>Class2 - P2 - concave</v>
      </c>
    </row>
    <row r="28" spans="1:25" x14ac:dyDescent="0.3">
      <c r="A28" s="2" t="s">
        <v>25</v>
      </c>
      <c r="B28" s="3" t="s">
        <v>19</v>
      </c>
      <c r="C28" s="3" t="s">
        <v>17</v>
      </c>
      <c r="D28" s="3" t="s">
        <v>12</v>
      </c>
      <c r="E28" s="4">
        <v>11.0833333333333</v>
      </c>
      <c r="F28" s="3">
        <v>3.2849704927558801E-2</v>
      </c>
      <c r="G28" s="4">
        <v>11.0834064565252</v>
      </c>
      <c r="H28" s="3">
        <v>1.6279999999999999</v>
      </c>
      <c r="I28" s="3">
        <v>250</v>
      </c>
      <c r="J28" s="3">
        <v>250</v>
      </c>
      <c r="K28" s="3"/>
      <c r="L28" s="3" t="str">
        <f t="shared" si="2"/>
        <v/>
      </c>
      <c r="M28" s="3"/>
      <c r="N28" s="2" t="s">
        <v>27</v>
      </c>
      <c r="O28" s="3" t="s">
        <v>19</v>
      </c>
      <c r="P28" s="3" t="s">
        <v>17</v>
      </c>
      <c r="Q28" s="3" t="s">
        <v>12</v>
      </c>
      <c r="R28" s="3">
        <v>3.8639999999999999</v>
      </c>
      <c r="S28" s="4">
        <v>2.0814560469909898E-2</v>
      </c>
      <c r="T28" s="4">
        <v>3.8640809521358701</v>
      </c>
      <c r="U28" s="3">
        <v>1.044</v>
      </c>
      <c r="V28" s="3">
        <v>250</v>
      </c>
      <c r="W28" s="3">
        <v>250</v>
      </c>
      <c r="X28" s="3" t="str">
        <f t="shared" si="4"/>
        <v>Class2 - P2 - curvature</v>
      </c>
    </row>
    <row r="29" spans="1:25" x14ac:dyDescent="0.3">
      <c r="A29" s="2" t="s">
        <v>25</v>
      </c>
      <c r="B29" s="3" t="s">
        <v>19</v>
      </c>
      <c r="C29" s="3" t="s">
        <v>17</v>
      </c>
      <c r="D29" s="3" t="s">
        <v>13</v>
      </c>
      <c r="E29" s="4">
        <v>11.6673640167364</v>
      </c>
      <c r="F29" s="3">
        <v>2.9449607913470802E-2</v>
      </c>
      <c r="G29" s="4">
        <v>11.6674199196327</v>
      </c>
      <c r="H29" s="3">
        <v>1.4039999999999999</v>
      </c>
      <c r="I29" s="3">
        <v>250</v>
      </c>
      <c r="J29" s="3">
        <v>239</v>
      </c>
      <c r="K29" s="3"/>
      <c r="L29" s="3" t="str">
        <f t="shared" si="2"/>
        <v/>
      </c>
      <c r="M29" s="3"/>
      <c r="N29" s="2" t="s">
        <v>27</v>
      </c>
      <c r="O29" s="3" t="s">
        <v>19</v>
      </c>
      <c r="P29" s="3" t="s">
        <v>17</v>
      </c>
      <c r="Q29" s="3" t="s">
        <v>13</v>
      </c>
      <c r="R29" s="4">
        <v>2.6940639269406299</v>
      </c>
      <c r="S29" s="3">
        <v>7.1273800247580498E-3</v>
      </c>
      <c r="T29" s="4">
        <v>2.6940782666104899</v>
      </c>
      <c r="U29" s="3">
        <v>0.876</v>
      </c>
      <c r="V29" s="3">
        <v>250</v>
      </c>
      <c r="W29" s="3">
        <v>219</v>
      </c>
      <c r="X29" s="3" t="str">
        <f t="shared" si="4"/>
        <v>Class2 - P2 - hilbert</v>
      </c>
    </row>
    <row r="30" spans="1:25" x14ac:dyDescent="0.3">
      <c r="A30" s="2" t="s">
        <v>25</v>
      </c>
      <c r="B30" s="3" t="s">
        <v>19</v>
      </c>
      <c r="C30" s="3" t="s">
        <v>17</v>
      </c>
      <c r="D30" s="3" t="s">
        <v>14</v>
      </c>
      <c r="E30" s="4">
        <v>11.8900134952766</v>
      </c>
      <c r="F30" s="4">
        <v>3.10077633761183E-2</v>
      </c>
      <c r="G30" s="4">
        <v>11.890077105356299</v>
      </c>
      <c r="H30" s="3">
        <v>1.5</v>
      </c>
      <c r="I30" s="3">
        <v>250</v>
      </c>
      <c r="J30" s="3">
        <v>247</v>
      </c>
      <c r="K30" s="3"/>
      <c r="L30" s="3" t="str">
        <f t="shared" si="2"/>
        <v/>
      </c>
      <c r="M30" s="3"/>
      <c r="N30" s="2" t="s">
        <v>27</v>
      </c>
      <c r="O30" s="3" t="s">
        <v>19</v>
      </c>
      <c r="P30" s="3" t="s">
        <v>17</v>
      </c>
      <c r="Q30" s="3" t="s">
        <v>14</v>
      </c>
      <c r="R30" s="4">
        <v>3.9297520661157002</v>
      </c>
      <c r="S30" s="4">
        <v>1.96901480622775E-2</v>
      </c>
      <c r="T30" s="4">
        <v>3.92982812928715</v>
      </c>
      <c r="U30" s="3">
        <v>0.96799999999999997</v>
      </c>
      <c r="V30" s="3">
        <v>250</v>
      </c>
      <c r="W30" s="3">
        <v>242</v>
      </c>
      <c r="X30" s="3" t="str">
        <f t="shared" si="4"/>
        <v>Class2 - P2 - line_distance_10</v>
      </c>
    </row>
    <row r="31" spans="1:25" x14ac:dyDescent="0.3">
      <c r="A31" s="2" t="s">
        <v>25</v>
      </c>
      <c r="B31" s="3" t="s">
        <v>19</v>
      </c>
      <c r="C31" s="3" t="s">
        <v>17</v>
      </c>
      <c r="D31" s="3" t="s">
        <v>15</v>
      </c>
      <c r="E31" s="4">
        <v>11.289008134722399</v>
      </c>
      <c r="F31" s="4">
        <v>2.4005626172564201E-2</v>
      </c>
      <c r="G31" s="4">
        <v>11.2890506446263</v>
      </c>
      <c r="H31" s="3">
        <v>8.8879999999999999</v>
      </c>
      <c r="I31" s="3">
        <v>250</v>
      </c>
      <c r="J31" s="3">
        <v>245</v>
      </c>
      <c r="K31" s="3"/>
      <c r="L31" s="3" t="str">
        <f t="shared" si="2"/>
        <v/>
      </c>
      <c r="M31" s="3"/>
      <c r="N31" s="2" t="s">
        <v>27</v>
      </c>
      <c r="O31" s="3" t="s">
        <v>19</v>
      </c>
      <c r="P31" s="3" t="s">
        <v>17</v>
      </c>
      <c r="Q31" s="3" t="s">
        <v>15</v>
      </c>
      <c r="R31" s="4">
        <v>3.7533068783068702</v>
      </c>
      <c r="S31" s="4">
        <v>1.2351242852894901E-2</v>
      </c>
      <c r="T31" s="4">
        <v>3.75333512019226</v>
      </c>
      <c r="U31" s="3">
        <v>5.74</v>
      </c>
      <c r="V31" s="3">
        <v>250</v>
      </c>
      <c r="W31" s="3">
        <v>180</v>
      </c>
      <c r="X31" s="3" t="str">
        <f t="shared" si="4"/>
        <v/>
      </c>
    </row>
    <row r="32" spans="1:25" x14ac:dyDescent="0.3">
      <c r="A32" s="2" t="s">
        <v>25</v>
      </c>
      <c r="B32" s="3" t="s">
        <v>19</v>
      </c>
      <c r="C32" s="3" t="s">
        <v>17</v>
      </c>
      <c r="D32" s="3" t="s">
        <v>16</v>
      </c>
      <c r="E32" s="4">
        <v>12.620816599732199</v>
      </c>
      <c r="F32" s="3">
        <v>3.5118963760595E-2</v>
      </c>
      <c r="G32" s="4">
        <v>12.6208922744365</v>
      </c>
      <c r="H32" s="3">
        <v>1.88</v>
      </c>
      <c r="I32" s="3">
        <v>250</v>
      </c>
      <c r="J32" s="3">
        <v>249</v>
      </c>
      <c r="K32" s="3"/>
      <c r="L32" s="3" t="str">
        <f t="shared" si="2"/>
        <v/>
      </c>
      <c r="M32" s="3"/>
      <c r="N32" s="2" t="s">
        <v>27</v>
      </c>
      <c r="O32" s="3" t="s">
        <v>19</v>
      </c>
      <c r="P32" s="3" t="s">
        <v>17</v>
      </c>
      <c r="Q32" s="3" t="s">
        <v>16</v>
      </c>
      <c r="R32" s="4">
        <v>4.1858974358974299</v>
      </c>
      <c r="S32" s="3">
        <v>2.14572334201628E-2</v>
      </c>
      <c r="T32" s="4">
        <v>4.1859796839450203</v>
      </c>
      <c r="U32" s="3">
        <v>1.1479999999999999</v>
      </c>
      <c r="V32" s="3">
        <v>250</v>
      </c>
      <c r="W32" s="3">
        <v>247</v>
      </c>
      <c r="X32" s="3" t="str">
        <f t="shared" si="4"/>
        <v/>
      </c>
      <c r="Y32" t="s">
        <v>30</v>
      </c>
    </row>
    <row r="33" spans="1:24" x14ac:dyDescent="0.3">
      <c r="A33" s="2" t="s">
        <v>25</v>
      </c>
      <c r="B33" t="s">
        <v>19</v>
      </c>
      <c r="C33" t="s">
        <v>18</v>
      </c>
      <c r="D33" t="s">
        <v>11</v>
      </c>
      <c r="E33" s="1">
        <v>13.254303599373999</v>
      </c>
      <c r="F33">
        <v>7.7500190693196205E-2</v>
      </c>
      <c r="G33" s="1">
        <v>13.2546065918156</v>
      </c>
      <c r="H33">
        <v>1.1759999999999999</v>
      </c>
      <c r="I33">
        <v>250</v>
      </c>
      <c r="J33">
        <v>213</v>
      </c>
      <c r="L33" s="3" t="str">
        <f>IF(AND($H33&lt;1.5, $H33&gt;0.8, $G33&lt;10),
   $B33 &amp; " - " &amp; $C33 &amp; " - " &amp; $D33,
   "")</f>
        <v/>
      </c>
      <c r="N33" s="2" t="s">
        <v>27</v>
      </c>
      <c r="O33" t="s">
        <v>19</v>
      </c>
      <c r="P33" t="s">
        <v>18</v>
      </c>
      <c r="Q33" t="s">
        <v>11</v>
      </c>
      <c r="R33" s="1">
        <v>1.49693251533742</v>
      </c>
      <c r="S33">
        <v>1.80587226254751E-3</v>
      </c>
      <c r="T33" s="1">
        <v>1.49693397990844</v>
      </c>
      <c r="U33">
        <v>0.65200000000000002</v>
      </c>
      <c r="V33">
        <v>250</v>
      </c>
      <c r="W33">
        <v>163</v>
      </c>
      <c r="X33" s="3" t="str">
        <f>IF(AND($U33&lt;1.5, $U33&gt;0.8, $T33&lt;10),
   $O33 &amp; " - " &amp; $P33 &amp; " - " &amp; $Q33,
   "")</f>
        <v/>
      </c>
    </row>
    <row r="34" spans="1:24" x14ac:dyDescent="0.3">
      <c r="A34" s="2" t="s">
        <v>25</v>
      </c>
      <c r="B34" t="s">
        <v>19</v>
      </c>
      <c r="C34" t="s">
        <v>18</v>
      </c>
      <c r="D34" t="s">
        <v>12</v>
      </c>
      <c r="E34" s="1">
        <v>19.729333333333301</v>
      </c>
      <c r="F34" s="1">
        <v>0.14350287417729601</v>
      </c>
      <c r="G34" s="1">
        <v>19.729954225530999</v>
      </c>
      <c r="H34">
        <v>2.2599999999999998</v>
      </c>
      <c r="I34">
        <v>250</v>
      </c>
      <c r="J34">
        <v>250</v>
      </c>
      <c r="L34" s="3" t="str">
        <f t="shared" ref="L34:L38" si="5">IF(AND($H34&lt;1.5, $H34&gt;0.8, $G34&lt;10),
   $B34 &amp; " - " &amp; $C34 &amp; " - " &amp; $D34,
   "")</f>
        <v/>
      </c>
      <c r="N34" s="2" t="s">
        <v>27</v>
      </c>
      <c r="O34" t="s">
        <v>19</v>
      </c>
      <c r="P34" t="s">
        <v>18</v>
      </c>
      <c r="Q34" t="s">
        <v>12</v>
      </c>
      <c r="R34">
        <v>8.57</v>
      </c>
      <c r="S34">
        <v>5.80937268955782E-2</v>
      </c>
      <c r="T34" s="1">
        <v>8.5702327007516192</v>
      </c>
      <c r="U34">
        <v>1.1120000000000001</v>
      </c>
      <c r="V34">
        <v>250</v>
      </c>
      <c r="W34">
        <v>250</v>
      </c>
      <c r="X34" s="3" t="str">
        <f t="shared" ref="X34:X38" si="6">IF(AND($U34&lt;1.5, $U34&gt;0.8, $T34&lt;10),
   $O34 &amp; " - " &amp; $P34 &amp; " - " &amp; $Q34,
   "")</f>
        <v>Class2 - P3 - curvature</v>
      </c>
    </row>
    <row r="35" spans="1:24" x14ac:dyDescent="0.3">
      <c r="A35" s="2" t="s">
        <v>25</v>
      </c>
      <c r="B35" t="s">
        <v>19</v>
      </c>
      <c r="C35" t="s">
        <v>18</v>
      </c>
      <c r="D35" t="s">
        <v>13</v>
      </c>
      <c r="E35" s="1">
        <v>12.9327217125382</v>
      </c>
      <c r="F35">
        <v>7.4731385632154798E-2</v>
      </c>
      <c r="G35" s="1">
        <v>12.9330215585306</v>
      </c>
      <c r="H35">
        <v>1.224</v>
      </c>
      <c r="I35">
        <v>250</v>
      </c>
      <c r="J35">
        <v>218</v>
      </c>
      <c r="L35" s="3" t="str">
        <f t="shared" si="5"/>
        <v/>
      </c>
      <c r="N35" s="2" t="s">
        <v>27</v>
      </c>
      <c r="O35" t="s">
        <v>19</v>
      </c>
      <c r="P35" t="s">
        <v>18</v>
      </c>
      <c r="Q35" t="s">
        <v>13</v>
      </c>
      <c r="R35" s="1">
        <v>2.6779661016949099</v>
      </c>
      <c r="S35">
        <v>4.8518360699111298E-3</v>
      </c>
      <c r="T35">
        <v>2.6779730895042402</v>
      </c>
      <c r="U35">
        <v>0.70799999999999996</v>
      </c>
      <c r="V35">
        <v>250</v>
      </c>
      <c r="W35">
        <v>177</v>
      </c>
      <c r="X35" s="3" t="str">
        <f t="shared" si="6"/>
        <v/>
      </c>
    </row>
    <row r="36" spans="1:24" x14ac:dyDescent="0.3">
      <c r="A36" s="2" t="s">
        <v>25</v>
      </c>
      <c r="B36" t="s">
        <v>19</v>
      </c>
      <c r="C36" t="s">
        <v>18</v>
      </c>
      <c r="D36" t="s">
        <v>14</v>
      </c>
      <c r="E36" s="1">
        <v>18.2953333333333</v>
      </c>
      <c r="F36" s="1">
        <v>0.12352285779375199</v>
      </c>
      <c r="G36" s="1">
        <v>18.295839646298301</v>
      </c>
      <c r="H36">
        <v>1.92</v>
      </c>
      <c r="I36">
        <v>250</v>
      </c>
      <c r="J36">
        <v>250</v>
      </c>
      <c r="L36" s="3" t="str">
        <f t="shared" si="5"/>
        <v/>
      </c>
      <c r="N36" s="2" t="s">
        <v>27</v>
      </c>
      <c r="O36" t="s">
        <v>19</v>
      </c>
      <c r="P36" t="s">
        <v>18</v>
      </c>
      <c r="Q36" t="s">
        <v>14</v>
      </c>
      <c r="R36" s="1">
        <v>8.52032520325203</v>
      </c>
      <c r="S36">
        <v>5.1179395930269003E-2</v>
      </c>
      <c r="T36" s="1">
        <v>8.5205130039898602</v>
      </c>
      <c r="U36">
        <v>0.98399999999999999</v>
      </c>
      <c r="V36">
        <v>250</v>
      </c>
      <c r="W36">
        <v>246</v>
      </c>
      <c r="X36" s="3" t="str">
        <f t="shared" si="6"/>
        <v>Class2 - P3 - line_distance_10</v>
      </c>
    </row>
    <row r="37" spans="1:24" x14ac:dyDescent="0.3">
      <c r="A37" s="2" t="s">
        <v>25</v>
      </c>
      <c r="B37" t="s">
        <v>19</v>
      </c>
      <c r="C37" t="s">
        <v>18</v>
      </c>
      <c r="D37" t="s">
        <v>15</v>
      </c>
      <c r="E37" s="1">
        <v>18.3686782561782</v>
      </c>
      <c r="F37" s="1">
        <v>0.11540843360702201</v>
      </c>
      <c r="G37" s="1">
        <v>18.369137756994999</v>
      </c>
      <c r="H37">
        <v>7.0759999999999996</v>
      </c>
      <c r="I37">
        <v>250</v>
      </c>
      <c r="J37">
        <v>222</v>
      </c>
      <c r="L37" s="3" t="str">
        <f t="shared" si="5"/>
        <v/>
      </c>
      <c r="N37" s="2" t="s">
        <v>27</v>
      </c>
      <c r="O37" t="s">
        <v>19</v>
      </c>
      <c r="P37" t="s">
        <v>18</v>
      </c>
      <c r="Q37" t="s">
        <v>15</v>
      </c>
      <c r="R37" s="1">
        <v>2.3836734693877499</v>
      </c>
      <c r="S37">
        <v>4.05900700368181E-3</v>
      </c>
      <c r="T37" s="1">
        <v>2.38367962829629</v>
      </c>
      <c r="U37">
        <v>2.7759999999999998</v>
      </c>
      <c r="V37">
        <v>250</v>
      </c>
      <c r="W37">
        <v>98</v>
      </c>
      <c r="X37" s="3" t="str">
        <f t="shared" si="6"/>
        <v/>
      </c>
    </row>
    <row r="38" spans="1:24" x14ac:dyDescent="0.3">
      <c r="A38" s="2" t="s">
        <v>25</v>
      </c>
      <c r="B38" t="s">
        <v>19</v>
      </c>
      <c r="C38" t="s">
        <v>18</v>
      </c>
      <c r="D38" t="s">
        <v>16</v>
      </c>
      <c r="E38" s="1">
        <v>19.898333333333301</v>
      </c>
      <c r="F38" s="1">
        <v>0.143015000821341</v>
      </c>
      <c r="G38">
        <v>19.898940748047501</v>
      </c>
      <c r="H38">
        <v>2.6160000000000001</v>
      </c>
      <c r="I38">
        <v>250</v>
      </c>
      <c r="J38">
        <v>250</v>
      </c>
      <c r="L38" s="3" t="str">
        <f t="shared" si="5"/>
        <v/>
      </c>
      <c r="N38" s="2" t="s">
        <v>27</v>
      </c>
      <c r="O38" t="s">
        <v>19</v>
      </c>
      <c r="P38" t="s">
        <v>18</v>
      </c>
      <c r="Q38" t="s">
        <v>16</v>
      </c>
      <c r="R38" s="1">
        <v>8.7237903225806406</v>
      </c>
      <c r="S38">
        <v>5.5150338328984597E-2</v>
      </c>
      <c r="T38" s="1">
        <v>8.7240001953874309</v>
      </c>
      <c r="U38">
        <v>1.3320000000000001</v>
      </c>
      <c r="V38">
        <v>250</v>
      </c>
      <c r="W38">
        <v>248</v>
      </c>
      <c r="X38" s="3" t="str">
        <f t="shared" si="6"/>
        <v>Class2 - P3 - wavelet</v>
      </c>
    </row>
    <row r="39" spans="1:24" x14ac:dyDescent="0.3">
      <c r="A39" s="2" t="s">
        <v>25</v>
      </c>
      <c r="B39" s="3" t="s">
        <v>20</v>
      </c>
      <c r="C39" s="3" t="s">
        <v>10</v>
      </c>
      <c r="D39" s="3" t="s">
        <v>11</v>
      </c>
      <c r="E39" s="4">
        <v>2.88095238095238</v>
      </c>
      <c r="F39" s="4">
        <v>1.40816892315074E-2</v>
      </c>
      <c r="G39" s="4">
        <v>2.8810033674822701</v>
      </c>
      <c r="H39" s="3">
        <v>0.16800000000000001</v>
      </c>
      <c r="I39" s="3">
        <v>250</v>
      </c>
      <c r="J39" s="3">
        <v>42</v>
      </c>
      <c r="K39" s="3"/>
      <c r="L39" s="3" t="str">
        <f>IF(AND($H39&lt;1.5, $H39&gt;0.8, $G39&lt;4),
   $B39 &amp; " - " &amp; $C39 &amp; " - " &amp; $D39,
   "")</f>
        <v/>
      </c>
      <c r="M39" s="3"/>
      <c r="N39" s="2" t="s">
        <v>27</v>
      </c>
      <c r="O39" s="3" t="s">
        <v>20</v>
      </c>
      <c r="P39" s="3" t="s">
        <v>10</v>
      </c>
      <c r="Q39" s="3" t="s">
        <v>11</v>
      </c>
      <c r="R39" s="4">
        <v>7.3454545454545404</v>
      </c>
      <c r="S39" s="3">
        <v>8.1885921474161197E-2</v>
      </c>
      <c r="T39" s="4">
        <v>7.3460002891081198</v>
      </c>
      <c r="U39" s="4">
        <v>0.22088353413654599</v>
      </c>
      <c r="V39" s="3">
        <v>250</v>
      </c>
      <c r="W39" s="3">
        <v>55</v>
      </c>
      <c r="X39" s="3" t="str">
        <f>IF(AND($U39&lt;1.5, $U39&gt;0.8, $T39&lt;4),
   $O39 &amp; " - " &amp; $P39 &amp; " - " &amp; $Q39,
   "")</f>
        <v/>
      </c>
    </row>
    <row r="40" spans="1:24" x14ac:dyDescent="0.3">
      <c r="A40" s="2" t="s">
        <v>25</v>
      </c>
      <c r="B40" s="3" t="s">
        <v>20</v>
      </c>
      <c r="C40" s="3" t="s">
        <v>10</v>
      </c>
      <c r="D40" s="3" t="s">
        <v>12</v>
      </c>
      <c r="E40" s="4">
        <v>2.7730923694779102</v>
      </c>
      <c r="F40" s="4">
        <v>4.8373253844160503E-2</v>
      </c>
      <c r="G40" s="4">
        <v>2.7735502972819401</v>
      </c>
      <c r="H40" s="3">
        <v>1.008</v>
      </c>
      <c r="I40" s="3">
        <v>250</v>
      </c>
      <c r="J40" s="3">
        <v>249</v>
      </c>
      <c r="K40" s="3"/>
      <c r="L40" s="3" t="str">
        <f t="shared" ref="L40:L50" si="7">IF(AND($H40&lt;1.5, $H40&gt;0.8, $G40&lt;4),
   $B40 &amp; " - " &amp; $C40 &amp; " - " &amp; $D40,
   "")</f>
        <v>Class3 - P1 - curvature</v>
      </c>
      <c r="M40" s="3"/>
      <c r="N40" s="2" t="s">
        <v>27</v>
      </c>
      <c r="O40" s="3" t="s">
        <v>20</v>
      </c>
      <c r="P40" s="3" t="s">
        <v>10</v>
      </c>
      <c r="Q40" s="3" t="s">
        <v>12</v>
      </c>
      <c r="R40" s="4">
        <v>3.30443548387096</v>
      </c>
      <c r="S40" s="3">
        <v>5.58122467858609E-2</v>
      </c>
      <c r="T40" s="4">
        <v>3.3049468121282</v>
      </c>
      <c r="U40" s="4">
        <v>1.0522088353413599</v>
      </c>
      <c r="V40" s="3">
        <v>250</v>
      </c>
      <c r="W40" s="3">
        <v>248</v>
      </c>
      <c r="X40" s="3" t="str">
        <f t="shared" ref="X40:X50" si="8">IF(AND($U40&lt;1.5, $U40&gt;0.8, $T40&lt;4),
   $O40 &amp; " - " &amp; $P40 &amp; " - " &amp; $Q40,
   "")</f>
        <v>Class3 - P1 - curvature</v>
      </c>
    </row>
    <row r="41" spans="1:24" x14ac:dyDescent="0.3">
      <c r="A41" s="2" t="s">
        <v>25</v>
      </c>
      <c r="B41" s="3" t="s">
        <v>20</v>
      </c>
      <c r="C41" s="3" t="s">
        <v>10</v>
      </c>
      <c r="D41" s="3" t="s">
        <v>13</v>
      </c>
      <c r="E41" s="4">
        <v>2.5470085470085402</v>
      </c>
      <c r="F41" s="3">
        <v>3.2103195543826103E-2</v>
      </c>
      <c r="G41" s="3">
        <v>2.54722938483676</v>
      </c>
      <c r="H41" s="3">
        <v>0.46800000000000003</v>
      </c>
      <c r="I41" s="3">
        <v>250</v>
      </c>
      <c r="J41" s="3">
        <v>117</v>
      </c>
      <c r="K41" s="3"/>
      <c r="L41" s="3" t="str">
        <f t="shared" si="7"/>
        <v/>
      </c>
      <c r="M41" s="3"/>
      <c r="N41" s="2" t="s">
        <v>27</v>
      </c>
      <c r="O41" s="3" t="s">
        <v>20</v>
      </c>
      <c r="P41" s="3" t="s">
        <v>10</v>
      </c>
      <c r="Q41" s="3" t="s">
        <v>13</v>
      </c>
      <c r="R41" s="4">
        <v>4.0634920634920597</v>
      </c>
      <c r="S41" s="3">
        <v>5.5846863736920403E-2</v>
      </c>
      <c r="T41" s="4">
        <v>4.0638993730750199</v>
      </c>
      <c r="U41" s="4">
        <v>0.50602409638554202</v>
      </c>
      <c r="V41" s="3">
        <v>250</v>
      </c>
      <c r="W41" s="3">
        <v>126</v>
      </c>
      <c r="X41" s="3" t="str">
        <f t="shared" si="8"/>
        <v/>
      </c>
    </row>
    <row r="42" spans="1:24" x14ac:dyDescent="0.3">
      <c r="A42" s="2" t="s">
        <v>25</v>
      </c>
      <c r="B42" s="3" t="s">
        <v>20</v>
      </c>
      <c r="C42" s="3" t="s">
        <v>10</v>
      </c>
      <c r="D42" s="3" t="s">
        <v>14</v>
      </c>
      <c r="E42" s="4">
        <v>2.76720647773279</v>
      </c>
      <c r="F42" s="3">
        <v>4.67388705697626E-2</v>
      </c>
      <c r="G42" s="4">
        <v>2.7676313906275598</v>
      </c>
      <c r="H42" s="3">
        <v>0.996</v>
      </c>
      <c r="I42" s="3">
        <v>250</v>
      </c>
      <c r="J42" s="3">
        <v>247</v>
      </c>
      <c r="K42" s="3"/>
      <c r="L42" s="3" t="str">
        <f t="shared" si="7"/>
        <v>Class3 - P1 - line_distance_10</v>
      </c>
      <c r="M42" s="3"/>
      <c r="N42" s="2" t="s">
        <v>27</v>
      </c>
      <c r="O42" s="3" t="s">
        <v>20</v>
      </c>
      <c r="P42" s="3" t="s">
        <v>10</v>
      </c>
      <c r="Q42" s="3" t="s">
        <v>14</v>
      </c>
      <c r="R42" s="4">
        <v>2.8346774193548301</v>
      </c>
      <c r="S42" s="4">
        <v>4.8045183778122599E-2</v>
      </c>
      <c r="T42" s="4">
        <v>2.8351143455549499</v>
      </c>
      <c r="U42" s="4">
        <v>0.99598393574297095</v>
      </c>
      <c r="V42" s="3">
        <v>250</v>
      </c>
      <c r="W42" s="3">
        <v>248</v>
      </c>
      <c r="X42" s="3" t="str">
        <f t="shared" si="8"/>
        <v>Class3 - P1 - line_distance_10</v>
      </c>
    </row>
    <row r="43" spans="1:24" x14ac:dyDescent="0.3">
      <c r="A43" s="2" t="s">
        <v>25</v>
      </c>
      <c r="B43" s="3" t="s">
        <v>20</v>
      </c>
      <c r="C43" s="3" t="s">
        <v>10</v>
      </c>
      <c r="D43" s="3" t="s">
        <v>15</v>
      </c>
      <c r="E43" s="3"/>
      <c r="F43" s="3"/>
      <c r="G43" s="3"/>
      <c r="H43" s="3">
        <v>0</v>
      </c>
      <c r="I43" s="3">
        <v>250</v>
      </c>
      <c r="J43" s="3">
        <v>0</v>
      </c>
      <c r="K43" s="3"/>
      <c r="L43" s="3" t="str">
        <f t="shared" si="7"/>
        <v/>
      </c>
      <c r="M43" s="3"/>
      <c r="N43" s="2" t="s">
        <v>27</v>
      </c>
      <c r="O43" s="3" t="s">
        <v>20</v>
      </c>
      <c r="P43" s="3" t="s">
        <v>10</v>
      </c>
      <c r="Q43" s="3" t="s">
        <v>15</v>
      </c>
      <c r="R43" s="4">
        <v>25.7222222222222</v>
      </c>
      <c r="S43" s="4">
        <v>0.34601583016095799</v>
      </c>
      <c r="T43" s="4">
        <v>25.724599627020101</v>
      </c>
      <c r="U43" s="3">
        <v>0.32128514056224899</v>
      </c>
      <c r="V43" s="3">
        <v>250</v>
      </c>
      <c r="W43" s="3">
        <v>9</v>
      </c>
      <c r="X43" s="3" t="str">
        <f t="shared" si="8"/>
        <v/>
      </c>
    </row>
    <row r="44" spans="1:24" x14ac:dyDescent="0.3">
      <c r="A44" s="2" t="s">
        <v>25</v>
      </c>
      <c r="B44" s="3" t="s">
        <v>20</v>
      </c>
      <c r="C44" s="3" t="s">
        <v>10</v>
      </c>
      <c r="D44" s="3" t="s">
        <v>16</v>
      </c>
      <c r="E44" s="4">
        <v>2.09303882195448</v>
      </c>
      <c r="F44" s="4">
        <v>3.3718333635782402E-2</v>
      </c>
      <c r="G44" s="4">
        <v>2.0933412454118701</v>
      </c>
      <c r="H44" s="3">
        <v>1.272</v>
      </c>
      <c r="I44" s="3">
        <v>250</v>
      </c>
      <c r="J44" s="3">
        <v>249</v>
      </c>
      <c r="K44" s="3"/>
      <c r="L44" s="3" t="str">
        <f t="shared" si="7"/>
        <v>Class3 - P1 - wavelet</v>
      </c>
      <c r="M44" s="3"/>
      <c r="N44" s="2" t="s">
        <v>27</v>
      </c>
      <c r="O44" s="3" t="s">
        <v>20</v>
      </c>
      <c r="P44" s="3" t="s">
        <v>10</v>
      </c>
      <c r="Q44" s="3" t="s">
        <v>16</v>
      </c>
      <c r="R44" s="4">
        <v>2.4734543010752601</v>
      </c>
      <c r="S44" s="4">
        <v>3.8944075774754797E-2</v>
      </c>
      <c r="T44" s="4">
        <v>2.4737920820713502</v>
      </c>
      <c r="U44" s="4">
        <v>1.31325301204819</v>
      </c>
      <c r="V44" s="3">
        <v>250</v>
      </c>
      <c r="W44" s="3">
        <v>248</v>
      </c>
      <c r="X44" s="3" t="str">
        <f t="shared" si="8"/>
        <v>Class3 - P1 - wavelet</v>
      </c>
    </row>
    <row r="45" spans="1:24" x14ac:dyDescent="0.3">
      <c r="A45" s="2" t="s">
        <v>25</v>
      </c>
      <c r="B45" t="s">
        <v>20</v>
      </c>
      <c r="C45" t="s">
        <v>17</v>
      </c>
      <c r="D45" t="s">
        <v>11</v>
      </c>
      <c r="E45" s="1">
        <v>4.7642276422764196</v>
      </c>
      <c r="F45" s="1">
        <v>1.5261176191679399E-2</v>
      </c>
      <c r="G45" s="1">
        <v>4.7642631862209104</v>
      </c>
      <c r="H45">
        <v>1.216</v>
      </c>
      <c r="I45">
        <v>250</v>
      </c>
      <c r="J45">
        <v>246</v>
      </c>
      <c r="L45" s="3" t="str">
        <f t="shared" si="7"/>
        <v/>
      </c>
      <c r="N45" s="2" t="s">
        <v>27</v>
      </c>
      <c r="O45" t="s">
        <v>20</v>
      </c>
      <c r="P45" t="s">
        <v>17</v>
      </c>
      <c r="Q45" t="s">
        <v>11</v>
      </c>
      <c r="R45" s="1">
        <v>1.92608695652173</v>
      </c>
      <c r="S45">
        <v>3.43195476553983E-3</v>
      </c>
      <c r="T45" s="1">
        <v>1.92609353088946</v>
      </c>
      <c r="U45" s="1">
        <v>0.92369477911646503</v>
      </c>
      <c r="V45">
        <v>250</v>
      </c>
      <c r="W45">
        <v>230</v>
      </c>
      <c r="X45" s="3" t="str">
        <f t="shared" si="8"/>
        <v>Class3 - P2 - concave</v>
      </c>
    </row>
    <row r="46" spans="1:24" x14ac:dyDescent="0.3">
      <c r="A46" s="2" t="s">
        <v>25</v>
      </c>
      <c r="B46" t="s">
        <v>20</v>
      </c>
      <c r="C46" t="s">
        <v>17</v>
      </c>
      <c r="D46" t="s">
        <v>12</v>
      </c>
      <c r="E46" s="1">
        <v>5.4736842105263097</v>
      </c>
      <c r="F46">
        <v>1.8888254153220499E-2</v>
      </c>
      <c r="G46" s="1">
        <v>5.4737310761959401</v>
      </c>
      <c r="H46">
        <v>1.288</v>
      </c>
      <c r="I46">
        <v>250</v>
      </c>
      <c r="J46">
        <v>247</v>
      </c>
      <c r="L46" s="3" t="str">
        <f t="shared" si="7"/>
        <v/>
      </c>
      <c r="N46" s="2" t="s">
        <v>27</v>
      </c>
      <c r="O46" t="s">
        <v>20</v>
      </c>
      <c r="P46" t="s">
        <v>17</v>
      </c>
      <c r="Q46" t="s">
        <v>12</v>
      </c>
      <c r="R46">
        <v>4.06989247311828</v>
      </c>
      <c r="S46">
        <v>1.8625916505898302E-2</v>
      </c>
      <c r="T46">
        <v>4.0699673770017402</v>
      </c>
      <c r="U46" s="1">
        <v>1.0401606425702801</v>
      </c>
      <c r="V46">
        <v>250</v>
      </c>
      <c r="W46">
        <v>248</v>
      </c>
      <c r="X46" s="3" t="str">
        <f t="shared" si="8"/>
        <v/>
      </c>
    </row>
    <row r="47" spans="1:24" x14ac:dyDescent="0.3">
      <c r="A47" s="2" t="s">
        <v>25</v>
      </c>
      <c r="B47" t="s">
        <v>20</v>
      </c>
      <c r="C47" t="s">
        <v>17</v>
      </c>
      <c r="D47" t="s">
        <v>13</v>
      </c>
      <c r="E47" s="1">
        <v>4.7319727891156402</v>
      </c>
      <c r="F47" s="1">
        <v>1.19360663463849E-2</v>
      </c>
      <c r="G47" s="1">
        <v>4.7319976704708004</v>
      </c>
      <c r="H47">
        <v>1.196</v>
      </c>
      <c r="I47">
        <v>250</v>
      </c>
      <c r="J47">
        <v>245</v>
      </c>
      <c r="L47" s="3" t="str">
        <f t="shared" si="7"/>
        <v/>
      </c>
      <c r="N47" s="2" t="s">
        <v>27</v>
      </c>
      <c r="O47" t="s">
        <v>20</v>
      </c>
      <c r="P47" t="s">
        <v>17</v>
      </c>
      <c r="Q47" t="s">
        <v>13</v>
      </c>
      <c r="R47" s="1">
        <v>2.9746835443037898</v>
      </c>
      <c r="S47">
        <v>6.0693961297727701E-3</v>
      </c>
      <c r="T47" s="1">
        <v>2.9747005106178301</v>
      </c>
      <c r="U47" s="1">
        <v>0.95180722891566205</v>
      </c>
      <c r="V47">
        <v>250</v>
      </c>
      <c r="W47">
        <v>237</v>
      </c>
      <c r="X47" s="3" t="str">
        <f t="shared" si="8"/>
        <v>Class3 - P2 - hilbert</v>
      </c>
    </row>
    <row r="48" spans="1:24" x14ac:dyDescent="0.3">
      <c r="A48" s="2" t="s">
        <v>25</v>
      </c>
      <c r="B48" t="s">
        <v>20</v>
      </c>
      <c r="C48" t="s">
        <v>17</v>
      </c>
      <c r="D48" t="s">
        <v>14</v>
      </c>
      <c r="E48">
        <v>6.2267206477732797</v>
      </c>
      <c r="F48" s="1">
        <v>2.02250994238449E-2</v>
      </c>
      <c r="G48" s="1">
        <v>6.2267707601976596</v>
      </c>
      <c r="H48">
        <v>1.2</v>
      </c>
      <c r="I48">
        <v>250</v>
      </c>
      <c r="J48">
        <v>247</v>
      </c>
      <c r="L48" s="3" t="str">
        <f t="shared" si="7"/>
        <v/>
      </c>
      <c r="N48" s="2" t="s">
        <v>27</v>
      </c>
      <c r="O48" t="s">
        <v>20</v>
      </c>
      <c r="P48" t="s">
        <v>17</v>
      </c>
      <c r="Q48" t="s">
        <v>14</v>
      </c>
      <c r="R48" s="1">
        <v>4.3830645161290303</v>
      </c>
      <c r="S48" s="1">
        <v>1.7153993403232402E-2</v>
      </c>
      <c r="T48">
        <v>4.3831320558067501</v>
      </c>
      <c r="U48" s="1">
        <v>0.99598393574297095</v>
      </c>
      <c r="V48">
        <v>250</v>
      </c>
      <c r="W48">
        <v>248</v>
      </c>
      <c r="X48" s="3" t="str">
        <f t="shared" si="8"/>
        <v/>
      </c>
    </row>
    <row r="49" spans="1:24" x14ac:dyDescent="0.3">
      <c r="A49" s="2" t="s">
        <v>25</v>
      </c>
      <c r="B49" t="s">
        <v>20</v>
      </c>
      <c r="C49" t="s">
        <v>17</v>
      </c>
      <c r="D49" t="s">
        <v>15</v>
      </c>
      <c r="E49" s="1">
        <v>6.2393297615755197</v>
      </c>
      <c r="F49" s="1">
        <v>1.60201892811919E-2</v>
      </c>
      <c r="G49" s="1">
        <v>6.2393631176545297</v>
      </c>
      <c r="H49">
        <v>8.0280000000000005</v>
      </c>
      <c r="I49">
        <v>250</v>
      </c>
      <c r="J49">
        <v>236</v>
      </c>
      <c r="L49" s="3" t="str">
        <f t="shared" si="7"/>
        <v/>
      </c>
      <c r="N49" s="2" t="s">
        <v>27</v>
      </c>
      <c r="O49" t="s">
        <v>20</v>
      </c>
      <c r="P49" t="s">
        <v>17</v>
      </c>
      <c r="Q49" t="s">
        <v>15</v>
      </c>
      <c r="R49" s="1">
        <v>3.6796585830566402</v>
      </c>
      <c r="S49" s="1">
        <v>1.08278021836618E-2</v>
      </c>
      <c r="T49" s="1">
        <v>3.6796853143747801</v>
      </c>
      <c r="U49" s="1">
        <v>6.7429718875502003</v>
      </c>
      <c r="V49">
        <v>250</v>
      </c>
      <c r="W49">
        <v>206</v>
      </c>
      <c r="X49" s="3" t="str">
        <f t="shared" si="8"/>
        <v/>
      </c>
    </row>
    <row r="50" spans="1:24" x14ac:dyDescent="0.3">
      <c r="A50" s="2" t="s">
        <v>25</v>
      </c>
      <c r="B50" t="s">
        <v>20</v>
      </c>
      <c r="C50" t="s">
        <v>17</v>
      </c>
      <c r="D50" t="s">
        <v>16</v>
      </c>
      <c r="E50" s="1">
        <v>5.4879032258064502</v>
      </c>
      <c r="F50" s="1">
        <v>1.7775569052841399E-2</v>
      </c>
      <c r="G50" s="1">
        <v>5.48794529198919</v>
      </c>
      <c r="H50">
        <v>1.452</v>
      </c>
      <c r="I50">
        <v>250</v>
      </c>
      <c r="J50">
        <v>248</v>
      </c>
      <c r="L50" s="3" t="str">
        <f t="shared" si="7"/>
        <v/>
      </c>
      <c r="N50" s="2" t="s">
        <v>27</v>
      </c>
      <c r="O50" t="s">
        <v>20</v>
      </c>
      <c r="P50" t="s">
        <v>17</v>
      </c>
      <c r="Q50" t="s">
        <v>16</v>
      </c>
      <c r="R50" s="1">
        <v>3.6404569892473102</v>
      </c>
      <c r="S50" s="1">
        <v>1.54973889169589E-2</v>
      </c>
      <c r="T50" s="1">
        <v>3.6405213072370501</v>
      </c>
      <c r="U50" s="1">
        <v>1.1566265060240899</v>
      </c>
      <c r="V50">
        <v>250</v>
      </c>
      <c r="W50">
        <v>248</v>
      </c>
      <c r="X50" s="3" t="str">
        <f t="shared" si="8"/>
        <v>Class3 - P2 - wavelet</v>
      </c>
    </row>
    <row r="51" spans="1:24" x14ac:dyDescent="0.3">
      <c r="A51" s="2" t="s">
        <v>25</v>
      </c>
      <c r="B51" s="3" t="s">
        <v>20</v>
      </c>
      <c r="C51" s="3" t="s">
        <v>18</v>
      </c>
      <c r="D51" s="3" t="s">
        <v>11</v>
      </c>
      <c r="E51" s="4">
        <v>18.426388888888798</v>
      </c>
      <c r="F51" s="4">
        <v>0.114345750916232</v>
      </c>
      <c r="G51" s="4">
        <v>18.426867191332502</v>
      </c>
      <c r="H51" s="3">
        <v>1.3640000000000001</v>
      </c>
      <c r="I51" s="3">
        <v>250</v>
      </c>
      <c r="J51" s="3">
        <v>240</v>
      </c>
      <c r="K51" s="3"/>
      <c r="L51" s="3" t="str">
        <f>IF(AND($H51&lt;1.5, $H51&gt;0.8, $G51&lt;10),
   $B51 &amp; " - " &amp; $C51 &amp; " - " &amp; $D51,
   "")</f>
        <v/>
      </c>
      <c r="M51" s="3"/>
      <c r="N51" s="2" t="s">
        <v>27</v>
      </c>
      <c r="O51" s="3" t="s">
        <v>20</v>
      </c>
      <c r="P51" s="3" t="s">
        <v>18</v>
      </c>
      <c r="Q51" s="3" t="s">
        <v>11</v>
      </c>
      <c r="R51" s="4">
        <v>1.78378378378378</v>
      </c>
      <c r="S51" s="3">
        <v>3.34916842886001E-3</v>
      </c>
      <c r="T51" s="4">
        <v>1.7837896946401699</v>
      </c>
      <c r="U51" s="4">
        <v>0.44578313253011997</v>
      </c>
      <c r="V51" s="3">
        <v>250</v>
      </c>
      <c r="W51" s="3">
        <v>111</v>
      </c>
      <c r="X51" s="3" t="str">
        <f>IF(AND($U51&lt;1.5, $U51&gt;0.8, $T51&lt;10),
   $O51 &amp; " - " &amp; $P51 &amp; " - " &amp; $Q51,
   "")</f>
        <v/>
      </c>
    </row>
    <row r="52" spans="1:24" x14ac:dyDescent="0.3">
      <c r="A52" s="2" t="s">
        <v>25</v>
      </c>
      <c r="B52" s="3" t="s">
        <v>20</v>
      </c>
      <c r="C52" s="3" t="s">
        <v>18</v>
      </c>
      <c r="D52" s="3" t="s">
        <v>12</v>
      </c>
      <c r="E52" s="3">
        <v>16.509</v>
      </c>
      <c r="F52" s="3">
        <v>9.5890608928812099E-2</v>
      </c>
      <c r="G52" s="4">
        <v>16.509409105907501</v>
      </c>
      <c r="H52" s="3">
        <v>2.028</v>
      </c>
      <c r="I52" s="3">
        <v>250</v>
      </c>
      <c r="J52" s="3">
        <v>250</v>
      </c>
      <c r="K52" s="3"/>
      <c r="L52" s="3" t="str">
        <f t="shared" ref="L52:L56" si="9">IF(AND($H52&lt;1.5, $H52&gt;0.8, $G52&lt;10),
   $B52 &amp; " - " &amp; $C52 &amp; " - " &amp; $D52,
   "")</f>
        <v/>
      </c>
      <c r="M52" s="3"/>
      <c r="N52" s="2" t="s">
        <v>27</v>
      </c>
      <c r="O52" s="3" t="s">
        <v>20</v>
      </c>
      <c r="P52" s="3" t="s">
        <v>18</v>
      </c>
      <c r="Q52" s="3" t="s">
        <v>12</v>
      </c>
      <c r="R52" s="4">
        <v>7.9616935483870899</v>
      </c>
      <c r="S52" s="4">
        <v>5.5082318082984798E-2</v>
      </c>
      <c r="T52" s="4">
        <v>7.9619192107841004</v>
      </c>
      <c r="U52" s="4">
        <v>1.0562248995983901</v>
      </c>
      <c r="V52" s="3">
        <v>250</v>
      </c>
      <c r="W52" s="3">
        <v>248</v>
      </c>
      <c r="X52" s="3" t="str">
        <f t="shared" ref="X52:X56" si="10">IF(AND($U52&lt;1.5, $U52&gt;0.8, $T52&lt;10),
   $O52 &amp; " - " &amp; $P52 &amp; " - " &amp; $Q52,
   "")</f>
        <v>Class3 - P3 - curvature</v>
      </c>
    </row>
    <row r="53" spans="1:24" x14ac:dyDescent="0.3">
      <c r="A53" s="2" t="s">
        <v>25</v>
      </c>
      <c r="B53" s="3" t="s">
        <v>20</v>
      </c>
      <c r="C53" s="3" t="s">
        <v>18</v>
      </c>
      <c r="D53" s="3" t="s">
        <v>13</v>
      </c>
      <c r="E53" s="4">
        <v>18.540425531914799</v>
      </c>
      <c r="F53" s="4">
        <v>0.10456879664483799</v>
      </c>
      <c r="G53" s="4">
        <v>18.540848321282098</v>
      </c>
      <c r="H53" s="3">
        <v>1.44</v>
      </c>
      <c r="I53" s="3">
        <v>250</v>
      </c>
      <c r="J53" s="3">
        <v>235</v>
      </c>
      <c r="K53" s="3"/>
      <c r="L53" s="3" t="str">
        <f t="shared" si="9"/>
        <v/>
      </c>
      <c r="M53" s="3"/>
      <c r="N53" s="2" t="s">
        <v>27</v>
      </c>
      <c r="O53" s="3" t="s">
        <v>20</v>
      </c>
      <c r="P53" s="3" t="s">
        <v>18</v>
      </c>
      <c r="Q53" s="3" t="s">
        <v>13</v>
      </c>
      <c r="R53" s="3">
        <v>2.625</v>
      </c>
      <c r="S53" s="3">
        <v>9.4683533051083003E-3</v>
      </c>
      <c r="T53" s="4">
        <v>2.62502889352879</v>
      </c>
      <c r="U53" s="4">
        <v>0.54618473895582298</v>
      </c>
      <c r="V53" s="3">
        <v>250</v>
      </c>
      <c r="W53" s="3">
        <v>136</v>
      </c>
      <c r="X53" s="3" t="str">
        <f t="shared" si="10"/>
        <v/>
      </c>
    </row>
    <row r="54" spans="1:24" x14ac:dyDescent="0.3">
      <c r="A54" s="2" t="s">
        <v>25</v>
      </c>
      <c r="B54" s="3" t="s">
        <v>20</v>
      </c>
      <c r="C54" s="3" t="s">
        <v>18</v>
      </c>
      <c r="D54" s="3" t="s">
        <v>14</v>
      </c>
      <c r="E54" s="4">
        <v>16.647098515519499</v>
      </c>
      <c r="F54" s="3">
        <v>9.0662643577389998E-2</v>
      </c>
      <c r="G54" s="4">
        <v>16.647457618845699</v>
      </c>
      <c r="H54" s="3">
        <v>1.8759999999999999</v>
      </c>
      <c r="I54" s="3">
        <v>250</v>
      </c>
      <c r="J54" s="3">
        <v>247</v>
      </c>
      <c r="K54" s="3"/>
      <c r="L54" s="3" t="str">
        <f t="shared" si="9"/>
        <v/>
      </c>
      <c r="M54" s="3"/>
      <c r="N54" s="2" t="s">
        <v>27</v>
      </c>
      <c r="O54" s="3" t="s">
        <v>20</v>
      </c>
      <c r="P54" s="3" t="s">
        <v>18</v>
      </c>
      <c r="Q54" s="3" t="s">
        <v>14</v>
      </c>
      <c r="R54" s="3">
        <v>7.125</v>
      </c>
      <c r="S54" s="3">
        <v>4.3624375711655797E-2</v>
      </c>
      <c r="T54" s="4">
        <v>7.12516052863631</v>
      </c>
      <c r="U54" s="3">
        <v>0.96385542168674698</v>
      </c>
      <c r="V54" s="3">
        <v>250</v>
      </c>
      <c r="W54" s="3">
        <v>240</v>
      </c>
      <c r="X54" s="3" t="str">
        <f t="shared" si="10"/>
        <v>Class3 - P3 - line_distance_10</v>
      </c>
    </row>
    <row r="55" spans="1:24" x14ac:dyDescent="0.3">
      <c r="A55" s="2" t="s">
        <v>25</v>
      </c>
      <c r="B55" s="3" t="s">
        <v>20</v>
      </c>
      <c r="C55" s="3" t="s">
        <v>18</v>
      </c>
      <c r="D55" s="3" t="s">
        <v>15</v>
      </c>
      <c r="E55" s="4">
        <v>17.028815963153299</v>
      </c>
      <c r="F55" s="4">
        <v>0.11807683357719</v>
      </c>
      <c r="G55" s="3">
        <v>17.0293436729905</v>
      </c>
      <c r="H55" s="3">
        <v>9.3040000000000003</v>
      </c>
      <c r="I55" s="3">
        <v>250</v>
      </c>
      <c r="J55" s="3">
        <v>249</v>
      </c>
      <c r="K55" s="3"/>
      <c r="L55" s="3" t="str">
        <f t="shared" si="9"/>
        <v/>
      </c>
      <c r="M55" s="3"/>
      <c r="N55" s="2" t="s">
        <v>27</v>
      </c>
      <c r="O55" s="3" t="s">
        <v>20</v>
      </c>
      <c r="P55" s="3" t="s">
        <v>18</v>
      </c>
      <c r="Q55" s="3" t="s">
        <v>15</v>
      </c>
      <c r="R55" s="4">
        <v>2.6756187062638599</v>
      </c>
      <c r="S55" s="3">
        <v>5.7714786805052199E-3</v>
      </c>
      <c r="T55" s="4">
        <v>2.6756297465918601</v>
      </c>
      <c r="U55" s="4">
        <v>2.3574297188754998</v>
      </c>
      <c r="V55" s="3">
        <v>250</v>
      </c>
      <c r="W55" s="3">
        <v>93</v>
      </c>
      <c r="X55" s="3" t="str">
        <f t="shared" si="10"/>
        <v/>
      </c>
    </row>
    <row r="56" spans="1:24" x14ac:dyDescent="0.3">
      <c r="A56" s="2" t="s">
        <v>25</v>
      </c>
      <c r="B56" s="3" t="s">
        <v>20</v>
      </c>
      <c r="C56" s="3" t="s">
        <v>18</v>
      </c>
      <c r="D56" s="3" t="s">
        <v>16</v>
      </c>
      <c r="E56" s="4">
        <v>16.0073333333333</v>
      </c>
      <c r="F56" s="3">
        <v>9.5150300993450496E-2</v>
      </c>
      <c r="G56" s="4">
        <v>16.007741724268399</v>
      </c>
      <c r="H56" s="3">
        <v>2.3839999999999999</v>
      </c>
      <c r="I56" s="3">
        <v>250</v>
      </c>
      <c r="J56" s="3">
        <v>250</v>
      </c>
      <c r="K56" s="3"/>
      <c r="L56" s="3" t="str">
        <f t="shared" si="9"/>
        <v/>
      </c>
      <c r="M56" s="3"/>
      <c r="N56" s="2" t="s">
        <v>27</v>
      </c>
      <c r="O56" s="3" t="s">
        <v>20</v>
      </c>
      <c r="P56" s="3" t="s">
        <v>18</v>
      </c>
      <c r="Q56" s="3" t="s">
        <v>16</v>
      </c>
      <c r="R56" s="4">
        <v>8.3373819163292797</v>
      </c>
      <c r="S56" s="3">
        <v>5.5989001771584702E-2</v>
      </c>
      <c r="T56" s="4">
        <v>8.3376050530303196</v>
      </c>
      <c r="U56" s="4">
        <v>1.31325301204819</v>
      </c>
      <c r="V56" s="3">
        <v>250</v>
      </c>
      <c r="W56" s="3">
        <v>247</v>
      </c>
      <c r="X56" s="3" t="str">
        <f t="shared" si="10"/>
        <v>Class3 - P3 - wavelet</v>
      </c>
    </row>
    <row r="57" spans="1:24" x14ac:dyDescent="0.3">
      <c r="A57" s="2" t="s">
        <v>25</v>
      </c>
      <c r="B57" t="s">
        <v>21</v>
      </c>
      <c r="C57" t="s">
        <v>17</v>
      </c>
      <c r="D57" t="s">
        <v>11</v>
      </c>
      <c r="E57" s="1">
        <v>0.97872340425531901</v>
      </c>
      <c r="F57">
        <v>1.01193594605288E-3</v>
      </c>
      <c r="G57" s="1">
        <v>0.97872403531304497</v>
      </c>
      <c r="H57">
        <v>0.94</v>
      </c>
      <c r="I57">
        <v>50</v>
      </c>
      <c r="J57">
        <v>47</v>
      </c>
      <c r="L57" s="3" t="str">
        <f>IF(AND($H57&lt;1.5, $H57&gt;0.8, $G57&lt;4),
   $B57 &amp; " - " &amp; $C57 &amp; " - " &amp; $D57,
   "")</f>
        <v>Class4 - P2 - concave</v>
      </c>
      <c r="O57" t="s">
        <v>21</v>
      </c>
      <c r="X57" s="3" t="str">
        <f>IF(AND($U57&lt;1.5, $U57&gt;0.8, $T57&lt;5),
   $O57 &amp; " - " &amp; $P57 &amp; " - " &amp; $Q57,
   "")</f>
        <v/>
      </c>
    </row>
    <row r="58" spans="1:24" x14ac:dyDescent="0.3">
      <c r="A58" s="2" t="s">
        <v>25</v>
      </c>
      <c r="B58" t="s">
        <v>21</v>
      </c>
      <c r="C58" t="s">
        <v>17</v>
      </c>
      <c r="D58" t="s">
        <v>12</v>
      </c>
      <c r="E58" s="1">
        <v>2.5652173913043401</v>
      </c>
      <c r="F58">
        <v>6.92625702871341E-3</v>
      </c>
      <c r="G58" s="1">
        <v>2.5652313470358998</v>
      </c>
      <c r="H58">
        <v>0.98</v>
      </c>
      <c r="I58">
        <v>50</v>
      </c>
      <c r="J58">
        <v>46</v>
      </c>
      <c r="L58" s="3" t="str">
        <f t="shared" ref="L58:L62" si="11">IF(AND($H58&lt;1.5, $H58&gt;0.8, $G58&lt;4),
   $B58 &amp; " - " &amp; $C58 &amp; " - " &amp; $D58,
   "")</f>
        <v>Class4 - P2 - curvature</v>
      </c>
      <c r="O58" t="s">
        <v>21</v>
      </c>
      <c r="X58" s="3" t="str">
        <f>IF(AND($U58&lt;1.5, $U58&gt;0.8, $T58&lt;5),
   $O58 &amp; " - " &amp; $P58 &amp; " - " &amp; $Q58,
   "")</f>
        <v/>
      </c>
    </row>
    <row r="59" spans="1:24" x14ac:dyDescent="0.3">
      <c r="A59" s="2" t="s">
        <v>25</v>
      </c>
      <c r="B59" t="s">
        <v>21</v>
      </c>
      <c r="C59" t="s">
        <v>17</v>
      </c>
      <c r="D59" t="s">
        <v>13</v>
      </c>
      <c r="E59">
        <v>2.5</v>
      </c>
      <c r="F59">
        <v>4.2711458328452299E-3</v>
      </c>
      <c r="G59" s="1">
        <v>2.50000591446251</v>
      </c>
      <c r="H59">
        <v>0.96</v>
      </c>
      <c r="I59">
        <v>50</v>
      </c>
      <c r="J59">
        <v>48</v>
      </c>
      <c r="L59" s="3" t="str">
        <f t="shared" si="11"/>
        <v>Class4 - P2 - hilbert</v>
      </c>
      <c r="O59" t="s">
        <v>21</v>
      </c>
      <c r="X59" s="3" t="str">
        <f>IF(AND($U59&lt;1.5, $U59&gt;0.8, $T59&lt;5),
   $O59 &amp; " - " &amp; $P59 &amp; " - " &amp; $Q59,
   "")</f>
        <v/>
      </c>
    </row>
    <row r="60" spans="1:24" x14ac:dyDescent="0.3">
      <c r="A60" s="2" t="s">
        <v>25</v>
      </c>
      <c r="B60" t="s">
        <v>21</v>
      </c>
      <c r="C60" t="s">
        <v>17</v>
      </c>
      <c r="D60" t="s">
        <v>14</v>
      </c>
      <c r="E60" s="1">
        <v>5.8604651162790597</v>
      </c>
      <c r="F60">
        <v>2.46238883235355E-2</v>
      </c>
      <c r="G60" s="1">
        <v>5.8605243146116299</v>
      </c>
      <c r="H60">
        <v>0.86</v>
      </c>
      <c r="I60">
        <v>50</v>
      </c>
      <c r="J60">
        <v>43</v>
      </c>
      <c r="L60" s="3" t="str">
        <f t="shared" si="11"/>
        <v/>
      </c>
      <c r="O60" t="s">
        <v>21</v>
      </c>
      <c r="X60" s="3" t="str">
        <f>IF(AND($U60&lt;1.5, $U60&gt;0.8, $T60&lt;5),
   $O60 &amp; " - " &amp; $P60 &amp; " - " &amp; $Q60,
   "")</f>
        <v/>
      </c>
    </row>
    <row r="61" spans="1:24" x14ac:dyDescent="0.3">
      <c r="A61" s="2" t="s">
        <v>25</v>
      </c>
      <c r="B61" t="s">
        <v>21</v>
      </c>
      <c r="C61" t="s">
        <v>17</v>
      </c>
      <c r="D61" t="s">
        <v>15</v>
      </c>
      <c r="E61" s="1">
        <v>2.87521494708994</v>
      </c>
      <c r="F61">
        <v>7.7527096557754001E-3</v>
      </c>
      <c r="G61" s="1">
        <v>2.8752331728515599</v>
      </c>
      <c r="H61">
        <v>8.3000000000000007</v>
      </c>
      <c r="I61">
        <v>50</v>
      </c>
      <c r="J61">
        <v>48</v>
      </c>
      <c r="L61" s="3" t="str">
        <f t="shared" si="11"/>
        <v/>
      </c>
      <c r="O61" t="s">
        <v>21</v>
      </c>
      <c r="X61" s="3" t="str">
        <f>IF(AND($U61&lt;1.5, $U61&gt;0.8, $T61&lt;5),
   $O61 &amp; " - " &amp; $P61 &amp; " - " &amp; $Q61,
   "")</f>
        <v/>
      </c>
    </row>
    <row r="62" spans="1:24" x14ac:dyDescent="0.3">
      <c r="A62" s="2" t="s">
        <v>25</v>
      </c>
      <c r="B62" t="s">
        <v>21</v>
      </c>
      <c r="C62" t="s">
        <v>17</v>
      </c>
      <c r="D62" t="s">
        <v>16</v>
      </c>
      <c r="E62" s="1">
        <v>2.5108695652173898</v>
      </c>
      <c r="F62">
        <v>7.7887487213004298E-3</v>
      </c>
      <c r="G62" s="1">
        <v>2.5108863314130101</v>
      </c>
      <c r="H62">
        <v>1.04</v>
      </c>
      <c r="I62">
        <v>50</v>
      </c>
      <c r="J62">
        <v>46</v>
      </c>
      <c r="L62" s="3" t="str">
        <f t="shared" si="11"/>
        <v>Class4 - P2 - wavelet</v>
      </c>
      <c r="O62" t="s">
        <v>21</v>
      </c>
      <c r="X62" s="3" t="str">
        <f>IF(AND($U62&lt;1.5, $U62&gt;0.8, $T62&lt;5),
   $O62 &amp; " - " &amp; $P62 &amp; " - " &amp; $Q62,
   "")</f>
        <v/>
      </c>
    </row>
  </sheetData>
  <conditionalFormatting sqref="H1:H1048576 U1:U1048576">
    <cfRule type="cellIs" dxfId="3" priority="2" operator="between">
      <formula>0.9</formula>
      <formula>1.1</formula>
    </cfRule>
  </conditionalFormatting>
  <conditionalFormatting sqref="H1:H1048576">
    <cfRule type="cellIs" dxfId="2" priority="4" operator="between">
      <formula>0.6</formula>
      <formula>1.4</formula>
    </cfRule>
    <cfRule type="cellIs" dxfId="1" priority="5" operator="between">
      <formula>"0.8"</formula>
      <formula>45689</formula>
    </cfRule>
  </conditionalFormatting>
  <conditionalFormatting sqref="T1:T1048576 G1:G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:U1048576">
    <cfRule type="cellIs" dxfId="0" priority="3" operator="between">
      <formula>0.6</formula>
      <formula>1.4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avg_metrics_static_neue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Hanna Jaworska</cp:lastModifiedBy>
  <dcterms:created xsi:type="dcterms:W3CDTF">2025-12-12T08:44:18Z</dcterms:created>
  <dcterms:modified xsi:type="dcterms:W3CDTF">2025-12-12T12:15:09Z</dcterms:modified>
</cp:coreProperties>
</file>